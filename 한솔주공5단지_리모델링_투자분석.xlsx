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_대시보드" sheetId="1" state="visible" r:id="rId1"/>
    <sheet name="시나리오_민감도" sheetId="2" state="visible" r:id="rId2"/>
    <sheet name="타입별_비교" sheetId="3" state="visible" r:id="rId3"/>
    <sheet name="매물" sheetId="4" state="visible" r:id="rId4"/>
    <sheet name="리모델링정보" sheetId="5" state="visible" r:id="rId5"/>
    <sheet name="분당티에르원" sheetId="6" state="visible" r:id="rId6"/>
    <sheet name="더샵센트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formatCode="[$₩-412]#,##0.00" numFmtId="164"/>
    <numFmt formatCode="#,##0.0&quot;㎡&quot;" numFmtId="165"/>
    <numFmt formatCode="#,##0.0&quot;평&quot;" numFmtId="166"/>
    <numFmt formatCode="#,##0.000&quot;억&quot;" numFmtId="167"/>
    <numFmt formatCode="#,##0.00&quot;억&quot;" numFmtId="168"/>
    <numFmt formatCode="0.0%" numFmtId="169"/>
    <numFmt formatCode="#,##0&quot;만원&quot;" numFmtId="170"/>
    <numFmt formatCode="0&quot;개월&quot;" numFmtId="171"/>
  </numFmts>
  <fonts count="13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222222"/>
    </font>
    <font>
      <name val="Arial"/>
      <color theme="1"/>
    </font>
    <font>
      <name val="맑은 고딕"/>
      <b val="1"/>
      <color rgb="001F4E78"/>
      <sz val="11"/>
    </font>
    <font>
      <name val="맑은 고딕"/>
      <i val="1"/>
      <color rgb="00808080"/>
      <sz val="9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i val="1"/>
      <color rgb="007F6000"/>
      <sz val="9"/>
    </font>
    <font>
      <name val="맑은 고딕"/>
      <b val="1"/>
      <color rgb="001F4E78"/>
      <sz val="15"/>
    </font>
    <font>
      <name val="맑은 고딕"/>
      <b val="1"/>
      <color rgb="00C00000"/>
      <sz val="11"/>
    </font>
    <font>
      <name val="맑은 고딕"/>
      <b val="1"/>
      <color rgb="00006100"/>
      <sz val="11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5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</border>
    <border>
      <right style="thin">
        <color rgb="00BFBFBF"/>
      </right>
      <top style="thin">
        <color rgb="00BFBFBF"/>
      </top>
    </border>
    <border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borderId="0" fillId="0" fontId="0" numFmtId="0"/>
  </cellStyleXfs>
  <cellXfs count="52">
    <xf applyAlignment="1" borderId="0" fillId="0" fontId="0" numFmtId="0" pivotButton="0" quotePrefix="0" xfId="0">
      <alignment vertical="bottom"/>
    </xf>
    <xf borderId="0" fillId="0" fontId="1" numFmtId="0" pivotButton="0" quotePrefix="0" xfId="0"/>
    <xf borderId="0" fillId="0" fontId="1" numFmtId="164" pivotButton="0" quotePrefix="0" xfId="0"/>
    <xf borderId="0" fillId="2" fontId="2" numFmtId="0" pivotButton="0" quotePrefix="0" xfId="0"/>
    <xf borderId="0" fillId="0" fontId="1" numFmtId="164" pivotButton="0" quotePrefix="0" xfId="0"/>
    <xf applyAlignment="1" borderId="0" fillId="0" fontId="3" numFmtId="0" pivotButton="0" quotePrefix="0" xfId="0">
      <alignment vertical="bottom"/>
    </xf>
    <xf borderId="0" fillId="0" fontId="0" numFmtId="0" pivotButton="0" quotePrefix="0" xfId="0"/>
    <xf applyAlignment="1" borderId="0" fillId="0" fontId="10" numFmtId="0" pivotButton="0" quotePrefix="0" xfId="0">
      <alignment horizontal="left" vertical="center"/>
    </xf>
    <xf applyAlignment="1" borderId="0" fillId="0" fontId="5" numFmtId="0" pivotButton="0" quotePrefix="0" xfId="0">
      <alignment horizontal="left" vertical="center"/>
    </xf>
    <xf applyAlignment="1" borderId="0" fillId="7" fontId="4" numFmtId="0" pivotButton="0" quotePrefix="0" xfId="0">
      <alignment horizontal="left" vertical="center"/>
    </xf>
    <xf applyAlignment="1" borderId="0" fillId="0" fontId="8" numFmtId="0" pivotButton="0" quotePrefix="0" xfId="0">
      <alignment horizontal="left" vertical="center"/>
    </xf>
    <xf applyAlignment="1" borderId="1" fillId="5" fontId="7" numFmtId="0" pivotButton="0" quotePrefix="0" xfId="0">
      <alignment horizontal="center" vertical="center"/>
    </xf>
    <xf applyAlignment="1" borderId="0" fillId="0" fontId="9" numFmtId="0" pivotButton="0" quotePrefix="0" xfId="0">
      <alignment horizontal="left" vertical="center"/>
    </xf>
    <xf applyAlignment="1" borderId="1" fillId="4" fontId="8" numFmtId="165" pivotButton="0" quotePrefix="0" xfId="0">
      <alignment horizontal="right" vertical="center"/>
    </xf>
    <xf applyAlignment="1" borderId="1" fillId="4" fontId="8" numFmtId="166" pivotButton="0" quotePrefix="0" xfId="0">
      <alignment horizontal="right" vertical="center"/>
    </xf>
    <xf applyAlignment="1" borderId="1" fillId="4" fontId="8" numFmtId="0" pivotButton="0" quotePrefix="0" xfId="0">
      <alignment horizontal="center" vertical="center"/>
    </xf>
    <xf applyAlignment="1" borderId="1" fillId="5" fontId="8" numFmtId="168" pivotButton="0" quotePrefix="0" xfId="0">
      <alignment horizontal="right" vertical="center"/>
    </xf>
    <xf applyAlignment="1" borderId="1" fillId="5" fontId="8" numFmtId="169" pivotButton="0" quotePrefix="0" xfId="0">
      <alignment horizontal="right" vertical="center"/>
    </xf>
    <xf applyAlignment="1" borderId="1" fillId="6" fontId="7" numFmtId="168" pivotButton="0" quotePrefix="0" xfId="0">
      <alignment horizontal="right" vertical="center"/>
    </xf>
    <xf applyAlignment="1" borderId="1" fillId="4" fontId="8" numFmtId="168" pivotButton="0" quotePrefix="0" xfId="0">
      <alignment horizontal="right" vertical="center"/>
    </xf>
    <xf applyAlignment="1" borderId="1" fillId="4" fontId="8" numFmtId="167" pivotButton="0" quotePrefix="0" xfId="0">
      <alignment horizontal="right" vertical="center"/>
    </xf>
    <xf applyAlignment="1" borderId="1" fillId="6" fontId="7" numFmtId="167" pivotButton="0" quotePrefix="0" xfId="0">
      <alignment horizontal="right" vertical="center"/>
    </xf>
    <xf applyAlignment="1" borderId="1" fillId="5" fontId="8" numFmtId="171" pivotButton="0" quotePrefix="0" xfId="0">
      <alignment horizontal="right" vertical="center"/>
    </xf>
    <xf applyAlignment="1" borderId="1" fillId="5" fontId="8" numFmtId="170" pivotButton="0" quotePrefix="0" xfId="0">
      <alignment horizontal="right" vertical="center"/>
    </xf>
    <xf applyAlignment="1" borderId="1" fillId="5" fontId="8" numFmtId="167" pivotButton="0" quotePrefix="0" xfId="0">
      <alignment horizontal="right" vertical="center"/>
    </xf>
    <xf applyAlignment="1" borderId="0" fillId="0" fontId="11" numFmtId="0" pivotButton="0" quotePrefix="0" xfId="0">
      <alignment horizontal="left" vertical="center"/>
    </xf>
    <xf applyAlignment="1" borderId="1" fillId="5" fontId="11" numFmtId="170" pivotButton="0" quotePrefix="0" xfId="0">
      <alignment horizontal="right" vertical="center"/>
    </xf>
    <xf applyAlignment="1" borderId="0" fillId="0" fontId="7" numFmtId="0" pivotButton="0" quotePrefix="0" xfId="0">
      <alignment horizontal="left" vertical="center"/>
    </xf>
    <xf applyAlignment="1" borderId="1" fillId="6" fontId="8" numFmtId="0" pivotButton="0" quotePrefix="0" xfId="0">
      <alignment horizontal="left" vertical="center"/>
    </xf>
    <xf borderId="4" fillId="0" fontId="0" numFmtId="0" pivotButton="0" quotePrefix="0" xfId="0"/>
    <xf applyAlignment="1" borderId="1" fillId="6" fontId="7" numFmtId="169" pivotButton="0" quotePrefix="0" xfId="0">
      <alignment horizontal="right" vertical="center"/>
    </xf>
    <xf applyAlignment="1" borderId="1" fillId="4" fontId="8" numFmtId="170" pivotButton="0" quotePrefix="0" xfId="0">
      <alignment horizontal="right" vertical="center"/>
    </xf>
    <xf applyAlignment="1" borderId="1" fillId="8" fontId="11" numFmtId="0" pivotButton="0" quotePrefix="0" xfId="0">
      <alignment horizontal="center" vertical="center"/>
    </xf>
    <xf applyAlignment="1" borderId="0" fillId="0" fontId="4" numFmtId="0" pivotButton="0" quotePrefix="0" xfId="0">
      <alignment horizontal="left" vertical="center"/>
    </xf>
    <xf applyAlignment="1" borderId="0" fillId="7" fontId="7" numFmtId="0" pivotButton="0" quotePrefix="0" xfId="0">
      <alignment horizontal="left" vertical="center"/>
    </xf>
    <xf applyAlignment="1" borderId="1" fillId="3" fontId="6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/>
    </xf>
    <xf applyAlignment="1" borderId="1" fillId="5" fontId="7" numFmtId="170" pivotButton="0" quotePrefix="0" xfId="0">
      <alignment horizontal="center" vertical="center"/>
    </xf>
    <xf applyAlignment="1" borderId="1" fillId="6" fontId="8" numFmtId="168" pivotButton="0" quotePrefix="0" xfId="0">
      <alignment horizontal="center" vertical="center"/>
    </xf>
    <xf applyAlignment="1" borderId="1" fillId="6" fontId="7" numFmtId="168" pivotButton="0" quotePrefix="0" xfId="0">
      <alignment horizontal="center" vertical="center"/>
    </xf>
    <xf applyAlignment="1" borderId="1" fillId="6" fontId="8" numFmtId="169" pivotButton="0" quotePrefix="0" xfId="0">
      <alignment horizontal="center" vertical="center"/>
    </xf>
    <xf applyAlignment="1" borderId="1" fillId="3" fontId="7" numFmtId="0" pivotButton="0" quotePrefix="0" xfId="0">
      <alignment horizontal="center" vertical="center"/>
    </xf>
    <xf applyAlignment="1" borderId="1" fillId="5" fontId="7" numFmtId="169" pivotButton="0" quotePrefix="0" xfId="0">
      <alignment horizontal="center" vertical="center"/>
    </xf>
    <xf applyAlignment="1" borderId="1" fillId="6" fontId="8" numFmtId="167" pivotButton="0" quotePrefix="0" xfId="0">
      <alignment horizontal="center" vertical="center"/>
    </xf>
    <xf applyAlignment="1" borderId="0" fillId="0" fontId="9" numFmtId="0" pivotButton="0" quotePrefix="0" xfId="0">
      <alignment horizontal="left" vertical="center" wrapText="1"/>
    </xf>
    <xf applyAlignment="1" borderId="1" fillId="4" fontId="7" numFmtId="0" pivotButton="0" quotePrefix="0" xfId="0">
      <alignment horizontal="center" vertical="center"/>
    </xf>
    <xf applyAlignment="1" borderId="1" fillId="4" fontId="8" numFmtId="165" pivotButton="0" quotePrefix="0" xfId="0">
      <alignment horizontal="center" vertical="center"/>
    </xf>
    <xf applyAlignment="1" borderId="1" fillId="4" fontId="8" numFmtId="166" pivotButton="0" quotePrefix="0" xfId="0">
      <alignment horizontal="center" vertical="center"/>
    </xf>
    <xf applyAlignment="1" borderId="1" fillId="4" fontId="8" numFmtId="167" pivotButton="0" quotePrefix="0" xfId="0">
      <alignment horizontal="center" vertical="center"/>
    </xf>
    <xf applyAlignment="1" borderId="1" fillId="5" fontId="8" numFmtId="168" pivotButton="0" quotePrefix="0" xfId="0">
      <alignment horizontal="center" vertical="center"/>
    </xf>
    <xf applyAlignment="1" borderId="1" fillId="6" fontId="7" numFmtId="170" pivotButton="0" quotePrefix="0" xfId="0">
      <alignment horizontal="center" vertical="center"/>
    </xf>
    <xf borderId="0" fillId="0" fontId="9" numFmtId="0" pivotButton="0" quotePrefix="0" xfId="0"/>
  </cellXfs>
  <cellStyles count="1">
    <cellStyle builtinId="0" name="Normal" xfId="0"/>
  </cellStyles>
  <dxfs count="2"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selection activeCell="A1" sqref="A1"/>
    </sheetView>
  </sheetViews>
  <sheetFormatPr baseColWidth="8" defaultRowHeight="15"/>
  <cols>
    <col customWidth="1" max="1" min="1" style="6" width="26"/>
    <col customWidth="1" max="2" min="2" style="6" width="15"/>
    <col customWidth="1" max="3" min="3" style="6" width="44"/>
  </cols>
  <sheetData>
    <row r="1">
      <c r="A1" s="7" t="inlineStr">
        <is>
          <t>한솔주공5단지 리모델링 투자수익 계산기</t>
        </is>
      </c>
    </row>
    <row r="2">
      <c r="A2" s="8" t="inlineStr">
        <is>
          <t>노랑칸=직접 입력 / 회색=자동계산 / 초록=핵심결과 · 단위 [억원] · 작성 2026-06</t>
        </is>
      </c>
    </row>
    <row r="4">
      <c r="A4" s="9" t="inlineStr">
        <is>
          <t>■ 1. 거래 대상 (타입 선택)</t>
        </is>
      </c>
      <c r="B4" s="9" t="inlineStr"/>
      <c r="C4" s="9" t="inlineStr"/>
    </row>
    <row r="5">
      <c r="A5" s="10" t="inlineStr">
        <is>
          <t>선택 타입</t>
        </is>
      </c>
      <c r="B5" s="11" t="inlineStr">
        <is>
          <t>D5</t>
        </is>
      </c>
      <c r="C5" s="12" t="inlineStr">
        <is>
          <t>드롭다운 ▼ (타입별_비교 시트 참고)</t>
        </is>
      </c>
    </row>
    <row r="6">
      <c r="A6" s="10" t="inlineStr">
        <is>
          <t>전용면적</t>
        </is>
      </c>
      <c r="B6" s="13">
        <f>VLOOKUP($B$5,타입별_비교!$A$4:$O$12,2,0)</f>
        <v/>
      </c>
      <c r="C6" s="12" t="inlineStr">
        <is>
          <t>리모델링 후 전용</t>
        </is>
      </c>
    </row>
    <row r="7">
      <c r="A7" s="10" t="inlineStr">
        <is>
          <t>공급면적</t>
        </is>
      </c>
      <c r="B7" s="13">
        <f>VLOOKUP($B$5,타입별_비교!$A$4:$O$12,3,0)</f>
        <v/>
      </c>
    </row>
    <row r="8">
      <c r="A8" s="10" t="inlineStr">
        <is>
          <t>공급 평형</t>
        </is>
      </c>
      <c r="B8" s="14">
        <f>B7/3.3058</f>
        <v/>
      </c>
      <c r="C8" s="12" t="inlineStr">
        <is>
          <t>← 가치산정 기준 평수</t>
        </is>
      </c>
    </row>
    <row r="9">
      <c r="A9" s="10" t="inlineStr">
        <is>
          <t>구조</t>
        </is>
      </c>
      <c r="B9" s="15">
        <f>VLOOKUP($B$5,타입별_비교!$A$4:$O$12,5,0)</f>
        <v/>
      </c>
    </row>
    <row r="11">
      <c r="A11" s="9" t="inlineStr">
        <is>
          <t>■ 2. 자금 조달</t>
        </is>
      </c>
      <c r="B11" s="9" t="inlineStr"/>
      <c r="C11" s="9" t="inlineStr"/>
    </row>
    <row r="12">
      <c r="A12" s="10" t="inlineStr">
        <is>
          <t>죽전벽산 매도순수입</t>
        </is>
      </c>
      <c r="B12" s="16" t="n">
        <v>10.5</v>
      </c>
      <c r="C12" s="12" t="inlineStr">
        <is>
          <t>기존대출·비용 차감 후 손에 쥐는 현금</t>
        </is>
      </c>
    </row>
    <row r="13">
      <c r="A13" s="10" t="inlineStr">
        <is>
          <t>보유 현금</t>
        </is>
      </c>
      <c r="B13" s="16" t="n">
        <v>3</v>
      </c>
      <c r="C13" s="12" t="inlineStr">
        <is>
          <t>※ "현금 총 3억" 해석에 맞게 조정</t>
        </is>
      </c>
    </row>
    <row r="14">
      <c r="A14" s="10" t="inlineStr">
        <is>
          <t>주택담보대출</t>
        </is>
      </c>
      <c r="B14" s="16" t="n">
        <v>4</v>
      </c>
      <c r="C14" s="12" t="inlineStr">
        <is>
          <t>신규 주담대 한도</t>
        </is>
      </c>
    </row>
    <row r="15">
      <c r="A15" s="10" t="inlineStr">
        <is>
          <t>주담대 금리(연)</t>
        </is>
      </c>
      <c r="B15" s="17" t="n">
        <v>0.04</v>
      </c>
      <c r="C15" s="12" t="inlineStr">
        <is>
          <t>변동 가정 → 민감도 시트</t>
        </is>
      </c>
    </row>
    <row r="16">
      <c r="A16" s="10" t="inlineStr">
        <is>
          <t>총 동원자금</t>
        </is>
      </c>
      <c r="B16" s="18">
        <f>B12+B13+B14</f>
        <v/>
      </c>
      <c r="C16" s="12" t="inlineStr">
        <is>
          <t>현금 13.5 + 대출 = 동원가능</t>
        </is>
      </c>
    </row>
    <row r="18">
      <c r="A18" s="9" t="inlineStr">
        <is>
          <t>■ 3. 취득 비용</t>
        </is>
      </c>
      <c r="B18" s="9" t="inlineStr"/>
      <c r="C18" s="9" t="inlineStr"/>
    </row>
    <row r="19">
      <c r="A19" s="10" t="inlineStr">
        <is>
          <t>입주권 매입가(호가)</t>
        </is>
      </c>
      <c r="B19" s="16" t="n">
        <v>14.5</v>
      </c>
      <c r="C19" s="12" t="inlineStr">
        <is>
          <t>실제 협상가 입력</t>
        </is>
      </c>
    </row>
    <row r="20">
      <c r="A20" s="10" t="inlineStr">
        <is>
          <t>취득세율(매입)</t>
        </is>
      </c>
      <c r="B20" s="17" t="n">
        <v>0.035</v>
      </c>
      <c r="C20" s="12" t="inlineStr">
        <is>
          <t>9억초과 주택 ≈3.3~3.5%</t>
        </is>
      </c>
    </row>
    <row r="21">
      <c r="A21" s="10" t="inlineStr">
        <is>
          <t>취득세(매입)</t>
        </is>
      </c>
      <c r="B21" s="19">
        <f>B19*B20</f>
        <v/>
      </c>
    </row>
    <row r="22">
      <c r="A22" s="10" t="inlineStr">
        <is>
          <t>중개수수료율</t>
        </is>
      </c>
      <c r="B22" s="17" t="n">
        <v>0.005</v>
      </c>
      <c r="C22" s="12" t="inlineStr">
        <is>
          <t>상한 0.7% 이내</t>
        </is>
      </c>
    </row>
    <row r="23">
      <c r="A23" s="10" t="inlineStr">
        <is>
          <t>중개수수료</t>
        </is>
      </c>
      <c r="B23" s="19">
        <f>B19*B22</f>
        <v/>
      </c>
    </row>
    <row r="24">
      <c r="A24" s="10" t="inlineStr">
        <is>
          <t>기타 취득부대비</t>
        </is>
      </c>
      <c r="B24" s="16" t="n">
        <v>0.1</v>
      </c>
      <c r="C24" s="12" t="inlineStr">
        <is>
          <t>법무·등기·이사 등</t>
        </is>
      </c>
    </row>
    <row r="25">
      <c r="A25" s="10" t="inlineStr">
        <is>
          <t>취득단계 소계</t>
        </is>
      </c>
      <c r="B25" s="18">
        <f>B19+B21+B23+B24</f>
        <v/>
      </c>
    </row>
    <row r="27">
      <c r="A27" s="9" t="inlineStr">
        <is>
          <t>■ 4. 리모델링 분담금</t>
        </is>
      </c>
      <c r="B27" s="9" t="inlineStr"/>
      <c r="C27" s="9" t="inlineStr"/>
    </row>
    <row r="28">
      <c r="A28" s="10" t="inlineStr">
        <is>
          <t>기본 분담금(타입)</t>
        </is>
      </c>
      <c r="B28" s="20">
        <f>VLOOKUP($B$5,타입별_비교!$A$4:$O$12,7,0)</f>
        <v/>
      </c>
      <c r="C28" s="12" t="inlineStr">
        <is>
          <t>리모델링정보 원본</t>
        </is>
      </c>
    </row>
    <row r="29">
      <c r="A29" s="10" t="inlineStr">
        <is>
          <t>분담금 증액률</t>
        </is>
      </c>
      <c r="B29" s="17" t="n">
        <v>0.1</v>
      </c>
      <c r="C29" s="12" t="inlineStr">
        <is>
          <t>★공사비 상승 → 향후 증가 가정</t>
        </is>
      </c>
    </row>
    <row r="30">
      <c r="A30" s="10" t="inlineStr">
        <is>
          <t>적용 분담금</t>
        </is>
      </c>
      <c r="B30" s="21">
        <f>B28*(1+B29)</f>
        <v/>
      </c>
    </row>
    <row r="31">
      <c r="A31" s="10" t="inlineStr">
        <is>
          <t>완공취득세율(증가분)</t>
        </is>
      </c>
      <c r="B31" s="17" t="n">
        <v>0.03</v>
      </c>
      <c r="C31" s="12" t="inlineStr">
        <is>
          <t>리모델링 증가면적 원시취득세 근사</t>
        </is>
      </c>
    </row>
    <row r="32">
      <c r="A32" s="10" t="inlineStr">
        <is>
          <t>완공 취득세</t>
        </is>
      </c>
      <c r="B32" s="20">
        <f>B30*B31</f>
        <v/>
      </c>
    </row>
    <row r="34">
      <c r="A34" s="9" t="inlineStr">
        <is>
          <t>■ 5. 보유비용 (공사·대기 기간)</t>
        </is>
      </c>
      <c r="B34" s="9" t="inlineStr"/>
      <c r="C34" s="9" t="inlineStr"/>
    </row>
    <row r="35">
      <c r="A35" s="10" t="inlineStr">
        <is>
          <t>공사·대기 기간(개월)</t>
        </is>
      </c>
      <c r="B35" s="22" t="n">
        <v>30</v>
      </c>
      <c r="C35" s="12" t="inlineStr">
        <is>
          <t>입주권 매수~완공 입주까지</t>
        </is>
      </c>
    </row>
    <row r="36">
      <c r="A36" s="10" t="inlineStr">
        <is>
          <t>월세(만원/월)</t>
        </is>
      </c>
      <c r="B36" s="23" t="n">
        <v>180</v>
      </c>
      <c r="C36" s="12" t="inlineStr">
        <is>
          <t>집 판 뒤 대기 거주비 ★</t>
        </is>
      </c>
    </row>
    <row r="37">
      <c r="A37" s="10" t="inlineStr">
        <is>
          <t>월세 상승률(연)</t>
        </is>
      </c>
      <c r="B37" s="17" t="n">
        <v>0.03</v>
      </c>
    </row>
    <row r="38">
      <c r="A38" s="10" t="inlineStr">
        <is>
          <t>누적 월세</t>
        </is>
      </c>
      <c r="B38" s="20">
        <f>IF(B37=0,B36/10000*B35,B36/10000*(((1+B37/12)^B35-1)/(B37/12)))</f>
        <v/>
      </c>
      <c r="C38" s="12" t="inlineStr">
        <is>
          <t>상승률 반영 누적</t>
        </is>
      </c>
    </row>
    <row r="39">
      <c r="A39" s="10" t="inlineStr">
        <is>
          <t>주담대 누적이자</t>
        </is>
      </c>
      <c r="B39" s="20">
        <f>B14*B15*(B35/12)</f>
        <v/>
      </c>
    </row>
    <row r="40">
      <c r="A40" s="10" t="inlineStr">
        <is>
          <t>분담금/이주비대출 이자</t>
        </is>
      </c>
      <c r="B40" s="24" t="n">
        <v>0</v>
      </c>
      <c r="C40" s="12" t="inlineStr">
        <is>
          <t>분담금 대출 시 이자(선택)</t>
        </is>
      </c>
    </row>
    <row r="41">
      <c r="A41" s="10" t="inlineStr">
        <is>
          <t>연 보유세(만원)</t>
        </is>
      </c>
      <c r="B41" s="23" t="n">
        <v>150</v>
      </c>
      <c r="C41" s="12" t="inlineStr">
        <is>
          <t>재산세+종부세 추정</t>
        </is>
      </c>
    </row>
    <row r="42">
      <c r="A42" s="10" t="inlineStr">
        <is>
          <t>누적 보유세</t>
        </is>
      </c>
      <c r="B42" s="20">
        <f>B41/10000*(B35/12)</f>
        <v/>
      </c>
    </row>
    <row r="43">
      <c r="A43" s="10" t="inlineStr">
        <is>
          <t>보유비용 소계</t>
        </is>
      </c>
      <c r="B43" s="21">
        <f>B38+B39+B40+B42</f>
        <v/>
      </c>
    </row>
    <row r="45">
      <c r="A45" s="9" t="inlineStr">
        <is>
          <t>■ 6. 완공 후 가치</t>
        </is>
      </c>
      <c r="B45" s="9" t="inlineStr"/>
      <c r="C45" s="9" t="inlineStr"/>
    </row>
    <row r="46">
      <c r="A46" s="25" t="inlineStr">
        <is>
          <t>완공 평당가(공급평,만원)</t>
        </is>
      </c>
      <c r="B46" s="26" t="n">
        <v>7000</v>
      </c>
      <c r="C46" s="12" t="inlineStr">
        <is>
          <t>★최대변수★ 더샵센트로≈6,400 / 티에르원≈7,460</t>
        </is>
      </c>
    </row>
    <row r="47">
      <c r="A47" s="10" t="inlineStr">
        <is>
          <t>완공 가치</t>
        </is>
      </c>
      <c r="B47" s="18">
        <f>B8*B46/10000</f>
        <v/>
      </c>
      <c r="C47" s="12" t="inlineStr">
        <is>
          <t>공급평 × 평당가</t>
        </is>
      </c>
    </row>
    <row r="49">
      <c r="A49" s="9" t="inlineStr">
        <is>
          <t>■ 7. 결과 요약</t>
        </is>
      </c>
      <c r="B49" s="9" t="inlineStr"/>
      <c r="C49" s="9" t="inlineStr"/>
    </row>
    <row r="50">
      <c r="A50" s="10" t="inlineStr">
        <is>
          <t>총 투입원가</t>
        </is>
      </c>
      <c r="B50" s="18">
        <f>B25+B30+B32+B43</f>
        <v/>
      </c>
      <c r="C50" s="12" t="inlineStr">
        <is>
          <t>매입+취득+분담+완공취득세+보유비</t>
        </is>
      </c>
    </row>
    <row r="51">
      <c r="A51" s="10" t="inlineStr">
        <is>
          <t>순현금 투입(자기자본)</t>
        </is>
      </c>
      <c r="B51" s="18">
        <f>B50-B14-B40</f>
        <v/>
      </c>
      <c r="C51" s="12" t="inlineStr">
        <is>
          <t>총투입 − 대출</t>
        </is>
      </c>
    </row>
    <row r="52">
      <c r="A52" s="10" t="inlineStr">
        <is>
          <t>현금 소요(취득+분담)</t>
        </is>
      </c>
      <c r="B52" s="19">
        <f>B50-B14-B40</f>
        <v/>
      </c>
    </row>
    <row r="53">
      <c r="A53" s="10" t="inlineStr">
        <is>
          <t>자금 과부족</t>
        </is>
      </c>
      <c r="B53" s="18">
        <f>(B12+B13)-(B50-B14-B40)</f>
        <v/>
      </c>
      <c r="C53" s="12" t="inlineStr">
        <is>
          <t>음수=분담금대출 등 추가조달 필요</t>
        </is>
      </c>
    </row>
    <row r="54">
      <c r="A54" s="27" t="inlineStr">
        <is>
          <t>→ 자금 진단</t>
        </is>
      </c>
      <c r="B54" s="28">
        <f>IF(B53&gt;=0,"여유 "&amp;TEXT(B53,"0.00")&amp;"억","부족 "&amp;TEXT(-B53,"0.00")&amp;"억 (추가대출 필요)")</f>
        <v/>
      </c>
      <c r="C54" s="29" t="n"/>
    </row>
    <row r="55">
      <c r="A55" s="10" t="inlineStr">
        <is>
          <t>완공 후 가치</t>
        </is>
      </c>
      <c r="B55" s="18">
        <f>B47</f>
        <v/>
      </c>
    </row>
    <row r="56">
      <c r="A56" s="10" t="inlineStr">
        <is>
          <t>평가손익(미실현)</t>
        </is>
      </c>
      <c r="B56" s="18">
        <f>B47-B50</f>
        <v/>
      </c>
    </row>
    <row r="57">
      <c r="A57" s="10" t="inlineStr">
        <is>
          <t>총투입대비 수익률</t>
        </is>
      </c>
      <c r="B57" s="30">
        <f>B56/B50</f>
        <v/>
      </c>
    </row>
    <row r="58">
      <c r="A58" s="10" t="inlineStr">
        <is>
          <t>자기자본수익률(ROE)</t>
        </is>
      </c>
      <c r="B58" s="30">
        <f>B56/(B50-B14-B40)</f>
        <v/>
      </c>
    </row>
    <row r="59">
      <c r="A59" s="10" t="inlineStr">
        <is>
          <t>연환산 수익률</t>
        </is>
      </c>
      <c r="B59" s="30">
        <f>B58/(B35/12)</f>
        <v/>
      </c>
    </row>
    <row r="60">
      <c r="A60" s="10" t="inlineStr">
        <is>
          <t>손익분기 완공가치(BEP)</t>
        </is>
      </c>
      <c r="B60" s="19">
        <f>B50</f>
        <v/>
      </c>
      <c r="C60" s="12" t="inlineStr">
        <is>
          <t>이 가격 이상이면 이익</t>
        </is>
      </c>
    </row>
    <row r="61">
      <c r="A61" s="10" t="inlineStr">
        <is>
          <t>손익분기 평당가(만원)</t>
        </is>
      </c>
      <c r="B61" s="31">
        <f>B50*10000/B8</f>
        <v/>
      </c>
      <c r="C61" s="12" t="inlineStr">
        <is>
          <t>★ 완공평당가가 이보다 높아야 이익</t>
        </is>
      </c>
    </row>
    <row r="62">
      <c r="A62" s="10" t="inlineStr">
        <is>
          <t>양도세(실거주1주택 비과세=0)</t>
        </is>
      </c>
      <c r="B62" s="16" t="n">
        <v>0</v>
      </c>
      <c r="C62" s="12" t="inlineStr">
        <is>
          <t>매도 시. 실거주 비과세면 0</t>
        </is>
      </c>
    </row>
    <row r="63">
      <c r="A63" s="10" t="inlineStr">
        <is>
          <t>세후 손익</t>
        </is>
      </c>
      <c r="B63" s="18">
        <f>B56-B62</f>
        <v/>
      </c>
    </row>
    <row r="65">
      <c r="A65" s="25" t="inlineStr">
        <is>
          <t>▶ 한줄 결론</t>
        </is>
      </c>
      <c r="B65" s="32">
        <f>IF(B56&gt;=0,"▲ 평가이익 "&amp;TEXT(B56,"0.00")&amp;"억 (ROE "&amp;TEXT(B58,"0.0%")&amp;")","▼ 평가손실 "&amp;TEXT(-B56,"0.00")&amp;"억")</f>
        <v/>
      </c>
      <c r="C65" s="29" t="n"/>
    </row>
  </sheetData>
  <mergeCells count="4">
    <mergeCell ref="B65:C65"/>
    <mergeCell ref="A2:C2"/>
    <mergeCell ref="B54:C54"/>
    <mergeCell ref="A1:C1"/>
  </mergeCells>
  <dataValidations count="1">
    <dataValidation allowBlank="0" showDropDown="0" showErrorMessage="0" showInputMessage="0" sqref="B5" type="list">
      <formula1>"D3,D5,D6,D7,AB1,AB2,C3,C4,C5"</formula1>
    </dataValidation>
  </dataValidation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customWidth="1" max="1" min="1" style="6" width="16"/>
    <col customWidth="1" max="2" min="2" style="6" width="14"/>
    <col customWidth="1" max="3" min="3" style="6" width="14"/>
    <col customWidth="1" max="4" min="4" style="6" width="14"/>
    <col customWidth="1" max="5" min="5" style="6" width="14"/>
    <col customWidth="1" max="6" min="6" style="6" width="12"/>
  </cols>
  <sheetData>
    <row r="1">
      <c r="A1" s="33" t="inlineStr">
        <is>
          <t>■ 시나리오 &amp; 민감도 분석 (선택 타입 기준, 대시보드 입력 연동)</t>
        </is>
      </c>
    </row>
    <row r="2">
      <c r="A2" s="8" t="inlineStr">
        <is>
          <t>※ 행/열 머리값을 바꾸면 자동 재계산. 음수(손실)=빨강</t>
        </is>
      </c>
    </row>
    <row r="4">
      <c r="A4" s="34" t="inlineStr">
        <is>
          <t>[A] 완공평당가 시나리오</t>
        </is>
      </c>
    </row>
    <row r="5">
      <c r="A5" s="35" t="inlineStr">
        <is>
          <t>구분</t>
        </is>
      </c>
      <c r="B5" s="35" t="inlineStr">
        <is>
          <t>비관(더샵급)</t>
        </is>
      </c>
      <c r="C5" s="35" t="inlineStr">
        <is>
          <t>기본</t>
        </is>
      </c>
      <c r="D5" s="35" t="inlineStr">
        <is>
          <t>낙관(티에르원↑)</t>
        </is>
      </c>
      <c r="E5" s="35" t="inlineStr">
        <is>
          <t>초낙관(+물가)</t>
        </is>
      </c>
    </row>
    <row r="6">
      <c r="A6" s="36" t="inlineStr">
        <is>
          <t>완공평당가(만원)</t>
        </is>
      </c>
      <c r="B6" s="37" t="n">
        <v>6400</v>
      </c>
      <c r="C6" s="37" t="n">
        <v>7000</v>
      </c>
      <c r="D6" s="37" t="n">
        <v>7600</v>
      </c>
      <c r="E6" s="37" t="n">
        <v>8200</v>
      </c>
    </row>
    <row r="7">
      <c r="A7" s="36" t="inlineStr">
        <is>
          <t>완공가치</t>
        </is>
      </c>
      <c r="B7" s="38">
        <f>요약_대시보드!$B$8*B$6/10000</f>
        <v/>
      </c>
      <c r="C7" s="38">
        <f>요약_대시보드!$B$8*C$6/10000</f>
        <v/>
      </c>
      <c r="D7" s="38">
        <f>요약_대시보드!$B$8*D$6/10000</f>
        <v/>
      </c>
      <c r="E7" s="38">
        <f>요약_대시보드!$B$8*E$6/10000</f>
        <v/>
      </c>
    </row>
    <row r="8">
      <c r="A8" s="36" t="inlineStr">
        <is>
          <t>총투입원가</t>
        </is>
      </c>
      <c r="B8" s="38">
        <f>요약_대시보드!$B$50</f>
        <v/>
      </c>
      <c r="C8" s="38">
        <f>요약_대시보드!$B$50</f>
        <v/>
      </c>
      <c r="D8" s="38">
        <f>요약_대시보드!$B$50</f>
        <v/>
      </c>
      <c r="E8" s="38">
        <f>요약_대시보드!$B$50</f>
        <v/>
      </c>
    </row>
    <row r="9">
      <c r="A9" s="36" t="inlineStr">
        <is>
          <t>평가손익</t>
        </is>
      </c>
      <c r="B9" s="39">
        <f>B7-B8</f>
        <v/>
      </c>
      <c r="C9" s="39">
        <f>C7-C8</f>
        <v/>
      </c>
      <c r="D9" s="39">
        <f>D7-D8</f>
        <v/>
      </c>
      <c r="E9" s="39">
        <f>E7-E8</f>
        <v/>
      </c>
    </row>
    <row r="10">
      <c r="A10" s="36" t="inlineStr">
        <is>
          <t>총투입수익률</t>
        </is>
      </c>
      <c r="B10" s="40">
        <f>B9/B8</f>
        <v/>
      </c>
      <c r="C10" s="40">
        <f>C9/C8</f>
        <v/>
      </c>
      <c r="D10" s="40">
        <f>D9/D8</f>
        <v/>
      </c>
      <c r="E10" s="40">
        <f>E9/E8</f>
        <v/>
      </c>
    </row>
    <row r="11">
      <c r="A11" s="36" t="inlineStr">
        <is>
          <t>ROE</t>
        </is>
      </c>
      <c r="B11" s="40">
        <f>B9/요약_대시보드!$B$51</f>
        <v/>
      </c>
      <c r="C11" s="40">
        <f>C9/요약_대시보드!$B$51</f>
        <v/>
      </c>
      <c r="D11" s="40">
        <f>D9/요약_대시보드!$B$51</f>
        <v/>
      </c>
      <c r="E11" s="40">
        <f>E9/요약_대시보드!$B$51</f>
        <v/>
      </c>
    </row>
    <row r="14">
      <c r="A14" s="34" t="inlineStr">
        <is>
          <t>[B] 민감도: 완공평당가(↓) × 분담금증액(→) → 평가손익(억)</t>
        </is>
      </c>
    </row>
    <row r="15">
      <c r="A15" s="41" t="inlineStr">
        <is>
          <t>평당가＼증액</t>
        </is>
      </c>
      <c r="B15" s="42" t="n">
        <v>0</v>
      </c>
      <c r="C15" s="42" t="n">
        <v>0.1</v>
      </c>
      <c r="D15" s="42" t="n">
        <v>0.2</v>
      </c>
      <c r="E15" s="42" t="n">
        <v>0.3</v>
      </c>
    </row>
    <row r="16">
      <c r="A16" s="37" t="n">
        <v>6400</v>
      </c>
      <c r="B16" s="38">
        <f>요약_대시보드!$B$8*$A16/10000-(요약_대시보드!$B$25+요약_대시보드!$B$28*(1+B$15)*(1+요약_대시보드!$B$31)+요약_대시보드!$B$43)</f>
        <v/>
      </c>
      <c r="C16" s="38">
        <f>요약_대시보드!$B$8*$A16/10000-(요약_대시보드!$B$25+요약_대시보드!$B$28*(1+C$15)*(1+요약_대시보드!$B$31)+요약_대시보드!$B$43)</f>
        <v/>
      </c>
      <c r="D16" s="38">
        <f>요약_대시보드!$B$8*$A16/10000-(요약_대시보드!$B$25+요약_대시보드!$B$28*(1+D$15)*(1+요약_대시보드!$B$31)+요약_대시보드!$B$43)</f>
        <v/>
      </c>
      <c r="E16" s="38">
        <f>요약_대시보드!$B$8*$A16/10000-(요약_대시보드!$B$25+요약_대시보드!$B$28*(1+E$15)*(1+요약_대시보드!$B$31)+요약_대시보드!$B$43)</f>
        <v/>
      </c>
    </row>
    <row r="17">
      <c r="A17" s="37" t="n">
        <v>6800</v>
      </c>
      <c r="B17" s="38">
        <f>요약_대시보드!$B$8*$A17/10000-(요약_대시보드!$B$25+요약_대시보드!$B$28*(1+B$15)*(1+요약_대시보드!$B$31)+요약_대시보드!$B$43)</f>
        <v/>
      </c>
      <c r="C17" s="38">
        <f>요약_대시보드!$B$8*$A17/10000-(요약_대시보드!$B$25+요약_대시보드!$B$28*(1+C$15)*(1+요약_대시보드!$B$31)+요약_대시보드!$B$43)</f>
        <v/>
      </c>
      <c r="D17" s="38">
        <f>요약_대시보드!$B$8*$A17/10000-(요약_대시보드!$B$25+요약_대시보드!$B$28*(1+D$15)*(1+요약_대시보드!$B$31)+요약_대시보드!$B$43)</f>
        <v/>
      </c>
      <c r="E17" s="38">
        <f>요약_대시보드!$B$8*$A17/10000-(요약_대시보드!$B$25+요약_대시보드!$B$28*(1+E$15)*(1+요약_대시보드!$B$31)+요약_대시보드!$B$43)</f>
        <v/>
      </c>
    </row>
    <row r="18">
      <c r="A18" s="37" t="n">
        <v>7200</v>
      </c>
      <c r="B18" s="38">
        <f>요약_대시보드!$B$8*$A18/10000-(요약_대시보드!$B$25+요약_대시보드!$B$28*(1+B$15)*(1+요약_대시보드!$B$31)+요약_대시보드!$B$43)</f>
        <v/>
      </c>
      <c r="C18" s="38">
        <f>요약_대시보드!$B$8*$A18/10000-(요약_대시보드!$B$25+요약_대시보드!$B$28*(1+C$15)*(1+요약_대시보드!$B$31)+요약_대시보드!$B$43)</f>
        <v/>
      </c>
      <c r="D18" s="38">
        <f>요약_대시보드!$B$8*$A18/10000-(요약_대시보드!$B$25+요약_대시보드!$B$28*(1+D$15)*(1+요약_대시보드!$B$31)+요약_대시보드!$B$43)</f>
        <v/>
      </c>
      <c r="E18" s="38">
        <f>요약_대시보드!$B$8*$A18/10000-(요약_대시보드!$B$25+요약_대시보드!$B$28*(1+E$15)*(1+요약_대시보드!$B$31)+요약_대시보드!$B$43)</f>
        <v/>
      </c>
    </row>
    <row r="19">
      <c r="A19" s="37" t="n">
        <v>7600</v>
      </c>
      <c r="B19" s="38">
        <f>요약_대시보드!$B$8*$A19/10000-(요약_대시보드!$B$25+요약_대시보드!$B$28*(1+B$15)*(1+요약_대시보드!$B$31)+요약_대시보드!$B$43)</f>
        <v/>
      </c>
      <c r="C19" s="38">
        <f>요약_대시보드!$B$8*$A19/10000-(요약_대시보드!$B$25+요약_대시보드!$B$28*(1+C$15)*(1+요약_대시보드!$B$31)+요약_대시보드!$B$43)</f>
        <v/>
      </c>
      <c r="D19" s="38">
        <f>요약_대시보드!$B$8*$A19/10000-(요약_대시보드!$B$25+요약_대시보드!$B$28*(1+D$15)*(1+요약_대시보드!$B$31)+요약_대시보드!$B$43)</f>
        <v/>
      </c>
      <c r="E19" s="38">
        <f>요약_대시보드!$B$8*$A19/10000-(요약_대시보드!$B$25+요약_대시보드!$B$28*(1+E$15)*(1+요약_대시보드!$B$31)+요약_대시보드!$B$43)</f>
        <v/>
      </c>
    </row>
    <row r="20">
      <c r="A20" s="37" t="n">
        <v>8000</v>
      </c>
      <c r="B20" s="38">
        <f>요약_대시보드!$B$8*$A20/10000-(요약_대시보드!$B$25+요약_대시보드!$B$28*(1+B$15)*(1+요약_대시보드!$B$31)+요약_대시보드!$B$43)</f>
        <v/>
      </c>
      <c r="C20" s="38">
        <f>요약_대시보드!$B$8*$A20/10000-(요약_대시보드!$B$25+요약_대시보드!$B$28*(1+C$15)*(1+요약_대시보드!$B$31)+요약_대시보드!$B$43)</f>
        <v/>
      </c>
      <c r="D20" s="38">
        <f>요약_대시보드!$B$8*$A20/10000-(요약_대시보드!$B$25+요약_대시보드!$B$28*(1+D$15)*(1+요약_대시보드!$B$31)+요약_대시보드!$B$43)</f>
        <v/>
      </c>
      <c r="E20" s="38">
        <f>요약_대시보드!$B$8*$A20/10000-(요약_대시보드!$B$25+요약_대시보드!$B$28*(1+E$15)*(1+요약_대시보드!$B$31)+요약_대시보드!$B$43)</f>
        <v/>
      </c>
    </row>
    <row r="21">
      <c r="A21" s="37" t="n">
        <v>8400</v>
      </c>
      <c r="B21" s="38">
        <f>요약_대시보드!$B$8*$A21/10000-(요약_대시보드!$B$25+요약_대시보드!$B$28*(1+B$15)*(1+요약_대시보드!$B$31)+요약_대시보드!$B$43)</f>
        <v/>
      </c>
      <c r="C21" s="38">
        <f>요약_대시보드!$B$8*$A21/10000-(요약_대시보드!$B$25+요약_대시보드!$B$28*(1+C$15)*(1+요약_대시보드!$B$31)+요약_대시보드!$B$43)</f>
        <v/>
      </c>
      <c r="D21" s="38">
        <f>요약_대시보드!$B$8*$A21/10000-(요약_대시보드!$B$25+요약_대시보드!$B$28*(1+D$15)*(1+요약_대시보드!$B$31)+요약_대시보드!$B$43)</f>
        <v/>
      </c>
      <c r="E21" s="38">
        <f>요약_대시보드!$B$8*$A21/10000-(요약_대시보드!$B$25+요약_대시보드!$B$28*(1+E$15)*(1+요약_대시보드!$B$31)+요약_대시보드!$B$43)</f>
        <v/>
      </c>
    </row>
    <row r="24">
      <c r="A24" s="34" t="inlineStr">
        <is>
          <t>[C] 민감도: 월세(↓) × 주담대금리(→) → 보유비용 합계(억)</t>
        </is>
      </c>
    </row>
    <row r="25">
      <c r="A25" s="41" t="inlineStr">
        <is>
          <t>월세＼금리</t>
        </is>
      </c>
      <c r="B25" s="42" t="n">
        <v>0.03</v>
      </c>
      <c r="C25" s="42" t="n">
        <v>0.04</v>
      </c>
      <c r="D25" s="42" t="n">
        <v>0.05</v>
      </c>
      <c r="E25" s="42" t="n">
        <v>0.06</v>
      </c>
    </row>
    <row r="26">
      <c r="A26" s="37" t="n">
        <v>120</v>
      </c>
      <c r="B26" s="43">
        <f>IF(요약_대시보드!$B$37=0,$A26/10000*요약_대시보드!$B$35,$A26/10000*(((1+요약_대시보드!$B$37/12)^요약_대시보드!$B$35-1)/(요약_대시보드!$B$37/12)))+요약_대시보드!$B$14*B$25*(요약_대시보드!$B$35/12)+요약_대시보드!$B$41/10000*(요약_대시보드!$B$35/12)</f>
        <v/>
      </c>
      <c r="C26" s="43">
        <f>IF(요약_대시보드!$B$37=0,$A26/10000*요약_대시보드!$B$35,$A26/10000*(((1+요약_대시보드!$B$37/12)^요약_대시보드!$B$35-1)/(요약_대시보드!$B$37/12)))+요약_대시보드!$B$14*C$25*(요약_대시보드!$B$35/12)+요약_대시보드!$B$41/10000*(요약_대시보드!$B$35/12)</f>
        <v/>
      </c>
      <c r="D26" s="43">
        <f>IF(요약_대시보드!$B$37=0,$A26/10000*요약_대시보드!$B$35,$A26/10000*(((1+요약_대시보드!$B$37/12)^요약_대시보드!$B$35-1)/(요약_대시보드!$B$37/12)))+요약_대시보드!$B$14*D$25*(요약_대시보드!$B$35/12)+요약_대시보드!$B$41/10000*(요약_대시보드!$B$35/12)</f>
        <v/>
      </c>
      <c r="E26" s="43">
        <f>IF(요약_대시보드!$B$37=0,$A26/10000*요약_대시보드!$B$35,$A26/10000*(((1+요약_대시보드!$B$37/12)^요약_대시보드!$B$35-1)/(요약_대시보드!$B$37/12)))+요약_대시보드!$B$14*E$25*(요약_대시보드!$B$35/12)+요약_대시보드!$B$41/10000*(요약_대시보드!$B$35/12)</f>
        <v/>
      </c>
    </row>
    <row r="27">
      <c r="A27" s="37" t="n">
        <v>150</v>
      </c>
      <c r="B27" s="43">
        <f>IF(요약_대시보드!$B$37=0,$A27/10000*요약_대시보드!$B$35,$A27/10000*(((1+요약_대시보드!$B$37/12)^요약_대시보드!$B$35-1)/(요약_대시보드!$B$37/12)))+요약_대시보드!$B$14*B$25*(요약_대시보드!$B$35/12)+요약_대시보드!$B$41/10000*(요약_대시보드!$B$35/12)</f>
        <v/>
      </c>
      <c r="C27" s="43">
        <f>IF(요약_대시보드!$B$37=0,$A27/10000*요약_대시보드!$B$35,$A27/10000*(((1+요약_대시보드!$B$37/12)^요약_대시보드!$B$35-1)/(요약_대시보드!$B$37/12)))+요약_대시보드!$B$14*C$25*(요약_대시보드!$B$35/12)+요약_대시보드!$B$41/10000*(요약_대시보드!$B$35/12)</f>
        <v/>
      </c>
      <c r="D27" s="43">
        <f>IF(요약_대시보드!$B$37=0,$A27/10000*요약_대시보드!$B$35,$A27/10000*(((1+요약_대시보드!$B$37/12)^요약_대시보드!$B$35-1)/(요약_대시보드!$B$37/12)))+요약_대시보드!$B$14*D$25*(요약_대시보드!$B$35/12)+요약_대시보드!$B$41/10000*(요약_대시보드!$B$35/12)</f>
        <v/>
      </c>
      <c r="E27" s="43">
        <f>IF(요약_대시보드!$B$37=0,$A27/10000*요약_대시보드!$B$35,$A27/10000*(((1+요약_대시보드!$B$37/12)^요약_대시보드!$B$35-1)/(요약_대시보드!$B$37/12)))+요약_대시보드!$B$14*E$25*(요약_대시보드!$B$35/12)+요약_대시보드!$B$41/10000*(요약_대시보드!$B$35/12)</f>
        <v/>
      </c>
    </row>
    <row r="28">
      <c r="A28" s="37" t="n">
        <v>180</v>
      </c>
      <c r="B28" s="43">
        <f>IF(요약_대시보드!$B$37=0,$A28/10000*요약_대시보드!$B$35,$A28/10000*(((1+요약_대시보드!$B$37/12)^요약_대시보드!$B$35-1)/(요약_대시보드!$B$37/12)))+요약_대시보드!$B$14*B$25*(요약_대시보드!$B$35/12)+요약_대시보드!$B$41/10000*(요약_대시보드!$B$35/12)</f>
        <v/>
      </c>
      <c r="C28" s="43">
        <f>IF(요약_대시보드!$B$37=0,$A28/10000*요약_대시보드!$B$35,$A28/10000*(((1+요약_대시보드!$B$37/12)^요약_대시보드!$B$35-1)/(요약_대시보드!$B$37/12)))+요약_대시보드!$B$14*C$25*(요약_대시보드!$B$35/12)+요약_대시보드!$B$41/10000*(요약_대시보드!$B$35/12)</f>
        <v/>
      </c>
      <c r="D28" s="43">
        <f>IF(요약_대시보드!$B$37=0,$A28/10000*요약_대시보드!$B$35,$A28/10000*(((1+요약_대시보드!$B$37/12)^요약_대시보드!$B$35-1)/(요약_대시보드!$B$37/12)))+요약_대시보드!$B$14*D$25*(요약_대시보드!$B$35/12)+요약_대시보드!$B$41/10000*(요약_대시보드!$B$35/12)</f>
        <v/>
      </c>
      <c r="E28" s="43">
        <f>IF(요약_대시보드!$B$37=0,$A28/10000*요약_대시보드!$B$35,$A28/10000*(((1+요약_대시보드!$B$37/12)^요약_대시보드!$B$35-1)/(요약_대시보드!$B$37/12)))+요약_대시보드!$B$14*E$25*(요약_대시보드!$B$35/12)+요약_대시보드!$B$41/10000*(요약_대시보드!$B$35/12)</f>
        <v/>
      </c>
    </row>
    <row r="29">
      <c r="A29" s="37" t="n">
        <v>210</v>
      </c>
      <c r="B29" s="43">
        <f>IF(요약_대시보드!$B$37=0,$A29/10000*요약_대시보드!$B$35,$A29/10000*(((1+요약_대시보드!$B$37/12)^요약_대시보드!$B$35-1)/(요약_대시보드!$B$37/12)))+요약_대시보드!$B$14*B$25*(요약_대시보드!$B$35/12)+요약_대시보드!$B$41/10000*(요약_대시보드!$B$35/12)</f>
        <v/>
      </c>
      <c r="C29" s="43">
        <f>IF(요약_대시보드!$B$37=0,$A29/10000*요약_대시보드!$B$35,$A29/10000*(((1+요약_대시보드!$B$37/12)^요약_대시보드!$B$35-1)/(요약_대시보드!$B$37/12)))+요약_대시보드!$B$14*C$25*(요약_대시보드!$B$35/12)+요약_대시보드!$B$41/10000*(요약_대시보드!$B$35/12)</f>
        <v/>
      </c>
      <c r="D29" s="43">
        <f>IF(요약_대시보드!$B$37=0,$A29/10000*요약_대시보드!$B$35,$A29/10000*(((1+요약_대시보드!$B$37/12)^요약_대시보드!$B$35-1)/(요약_대시보드!$B$37/12)))+요약_대시보드!$B$14*D$25*(요약_대시보드!$B$35/12)+요약_대시보드!$B$41/10000*(요약_대시보드!$B$35/12)</f>
        <v/>
      </c>
      <c r="E29" s="43">
        <f>IF(요약_대시보드!$B$37=0,$A29/10000*요약_대시보드!$B$35,$A29/10000*(((1+요약_대시보드!$B$37/12)^요약_대시보드!$B$35-1)/(요약_대시보드!$B$37/12)))+요약_대시보드!$B$14*E$25*(요약_대시보드!$B$35/12)+요약_대시보드!$B$41/10000*(요약_대시보드!$B$35/12)</f>
        <v/>
      </c>
    </row>
    <row r="30">
      <c r="A30" s="37" t="n">
        <v>240</v>
      </c>
      <c r="B30" s="43">
        <f>IF(요약_대시보드!$B$37=0,$A30/10000*요약_대시보드!$B$35,$A30/10000*(((1+요약_대시보드!$B$37/12)^요약_대시보드!$B$35-1)/(요약_대시보드!$B$37/12)))+요약_대시보드!$B$14*B$25*(요약_대시보드!$B$35/12)+요약_대시보드!$B$41/10000*(요약_대시보드!$B$35/12)</f>
        <v/>
      </c>
      <c r="C30" s="43">
        <f>IF(요약_대시보드!$B$37=0,$A30/10000*요약_대시보드!$B$35,$A30/10000*(((1+요약_대시보드!$B$37/12)^요약_대시보드!$B$35-1)/(요약_대시보드!$B$37/12)))+요약_대시보드!$B$14*C$25*(요약_대시보드!$B$35/12)+요약_대시보드!$B$41/10000*(요약_대시보드!$B$35/12)</f>
        <v/>
      </c>
      <c r="D30" s="43">
        <f>IF(요약_대시보드!$B$37=0,$A30/10000*요약_대시보드!$B$35,$A30/10000*(((1+요약_대시보드!$B$37/12)^요약_대시보드!$B$35-1)/(요약_대시보드!$B$37/12)))+요약_대시보드!$B$14*D$25*(요약_대시보드!$B$35/12)+요약_대시보드!$B$41/10000*(요약_대시보드!$B$35/12)</f>
        <v/>
      </c>
      <c r="E30" s="43">
        <f>IF(요약_대시보드!$B$37=0,$A30/10000*요약_대시보드!$B$35,$A30/10000*(((1+요약_대시보드!$B$37/12)^요약_대시보드!$B$35-1)/(요약_대시보드!$B$37/12)))+요약_대시보드!$B$14*E$25*(요약_대시보드!$B$35/12)+요약_대시보드!$B$41/10000*(요약_대시보드!$B$35/12)</f>
        <v/>
      </c>
    </row>
    <row r="33">
      <c r="A33" s="44" t="inlineStr">
        <is>
          <t>※ [C]는 보유비용(비용이므로 작을수록 유리)이고 [A][B]는 평가손익(클수록 유리). 완공평당가가 손익분기(대시보드 B61)를 넘어야 이익.</t>
        </is>
      </c>
    </row>
    <row r="34"/>
  </sheetData>
  <mergeCells count="4">
    <mergeCell ref="A24:E24"/>
    <mergeCell ref="A4:E4"/>
    <mergeCell ref="A14:F14"/>
    <mergeCell ref="A33:F34"/>
  </mergeCells>
  <conditionalFormatting sqref="B9:E9">
    <cfRule dxfId="0" operator="lessThan" priority="1" type="cellIs">
      <formula>0</formula>
    </cfRule>
    <cfRule dxfId="1" operator="greaterThanOrEqual" priority="2" type="cellIs">
      <formula>0</formula>
    </cfRule>
  </conditionalFormatting>
  <conditionalFormatting sqref="B16:E16">
    <cfRule dxfId="0" operator="lessThan" priority="3" type="cellIs">
      <formula>0</formula>
    </cfRule>
    <cfRule dxfId="1" operator="greaterThanOrEqual" priority="4" type="cellIs">
      <formula>0</formula>
    </cfRule>
  </conditionalFormatting>
  <conditionalFormatting sqref="B17:E17">
    <cfRule dxfId="0" operator="lessThan" priority="5" type="cellIs">
      <formula>0</formula>
    </cfRule>
    <cfRule dxfId="1" operator="greaterThanOrEqual" priority="6" type="cellIs">
      <formula>0</formula>
    </cfRule>
  </conditionalFormatting>
  <conditionalFormatting sqref="B18:E18">
    <cfRule dxfId="0" operator="lessThan" priority="7" type="cellIs">
      <formula>0</formula>
    </cfRule>
    <cfRule dxfId="1" operator="greaterThanOrEqual" priority="8" type="cellIs">
      <formula>0</formula>
    </cfRule>
  </conditionalFormatting>
  <conditionalFormatting sqref="B19:E19">
    <cfRule dxfId="0" operator="lessThan" priority="9" type="cellIs">
      <formula>0</formula>
    </cfRule>
    <cfRule dxfId="1" operator="greaterThanOrEqual" priority="10" type="cellIs">
      <formula>0</formula>
    </cfRule>
  </conditionalFormatting>
  <conditionalFormatting sqref="B20:E20">
    <cfRule dxfId="0" operator="lessThan" priority="11" type="cellIs">
      <formula>0</formula>
    </cfRule>
    <cfRule dxfId="1" operator="greaterThanOrEqual" priority="12" type="cellIs">
      <formula>0</formula>
    </cfRule>
  </conditionalFormatting>
  <conditionalFormatting sqref="B21:E21">
    <cfRule dxfId="0" operator="lessThan" priority="13" type="cellIs">
      <formula>0</formula>
    </cfRule>
    <cfRule dxfId="1" operator="greaterThanOrEqual" priority="14" type="cellIs">
      <formula>0</formula>
    </cfRule>
  </conditionalFormatting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selection activeCell="A1" sqref="A1"/>
    </sheetView>
  </sheetViews>
  <sheetFormatPr baseColWidth="8" defaultRowHeight="15"/>
  <cols>
    <col customWidth="1" max="1" min="1" style="6" width="6"/>
    <col customWidth="1" max="2" min="2" style="6" width="8"/>
    <col customWidth="1" max="3" min="3" style="6" width="8"/>
    <col customWidth="1" max="4" min="4" style="6" width="8"/>
    <col customWidth="1" max="5" min="5" style="6" width="16"/>
    <col customWidth="1" max="6" min="6" style="6" width="18"/>
    <col customWidth="1" max="7" min="7" style="6" width="10"/>
    <col customWidth="1" max="8" min="8" style="6" width="11"/>
    <col customWidth="1" max="9" min="9" style="6" width="10"/>
    <col customWidth="1" max="10" min="10" style="6" width="10"/>
    <col customWidth="1" max="11" min="11" style="6" width="11"/>
    <col customWidth="1" max="12" min="12" style="6" width="10"/>
    <col customWidth="1" max="13" min="13" style="6" width="10"/>
    <col customWidth="1" max="14" min="14" style="6" width="8"/>
    <col customWidth="1" max="15" min="15" style="6" width="14"/>
  </cols>
  <sheetData>
    <row r="1">
      <c r="A1" s="33" t="inlineStr">
        <is>
          <t>■ 리모델링 타입별 투자성 비교 (BEP 평당가 낮을수록 우수)</t>
        </is>
      </c>
    </row>
    <row r="2">
      <c r="A2" s="8" t="inlineStr">
        <is>
          <t>※ 회색=리모델링정보 시트 원본 / 노랑=대표호가(편집) / 초록=대시보드 가정 반영 자동계산</t>
        </is>
      </c>
    </row>
    <row r="3">
      <c r="A3" s="35" t="inlineStr">
        <is>
          <t>타입</t>
        </is>
      </c>
      <c r="B3" s="35" t="inlineStr">
        <is>
          <t>전용㎡</t>
        </is>
      </c>
      <c r="C3" s="35" t="inlineStr">
        <is>
          <t>공급㎡</t>
        </is>
      </c>
      <c r="D3" s="35" t="inlineStr">
        <is>
          <t>공급평</t>
        </is>
      </c>
      <c r="E3" s="35" t="inlineStr">
        <is>
          <t>구조</t>
        </is>
      </c>
      <c r="F3" s="35" t="inlineStr">
        <is>
          <t>가능동</t>
        </is>
      </c>
      <c r="G3" s="35" t="inlineStr">
        <is>
          <t>기본분담금</t>
        </is>
      </c>
      <c r="H3" s="35" t="inlineStr">
        <is>
          <t>대표매입호가</t>
        </is>
      </c>
      <c r="I3" s="35" t="inlineStr">
        <is>
          <t>적용분담금</t>
        </is>
      </c>
      <c r="J3" s="35" t="inlineStr">
        <is>
          <t>입주총원가</t>
        </is>
      </c>
      <c r="K3" s="35" t="inlineStr">
        <is>
          <t>총투입(올인)</t>
        </is>
      </c>
      <c r="L3" s="35" t="inlineStr">
        <is>
          <t>완공가치</t>
        </is>
      </c>
      <c r="M3" s="35" t="inlineStr">
        <is>
          <t>평가손익</t>
        </is>
      </c>
      <c r="N3" s="35" t="inlineStr">
        <is>
          <t>수익률</t>
        </is>
      </c>
      <c r="O3" s="35" t="inlineStr">
        <is>
          <t>BEP평당가(만원)</t>
        </is>
      </c>
    </row>
    <row r="4">
      <c r="A4" s="45" t="inlineStr">
        <is>
          <t>D3</t>
        </is>
      </c>
      <c r="B4" s="46" t="n">
        <v>72.11</v>
      </c>
      <c r="C4" s="46" t="n">
        <v>102.63</v>
      </c>
      <c r="D4" s="47">
        <f>C4/3.3058</f>
        <v/>
      </c>
      <c r="E4" s="15" t="inlineStr">
        <is>
          <t>방3/화2/복층형</t>
        </is>
      </c>
      <c r="F4" s="15" t="inlineStr">
        <is>
          <t>510동 2·7·8호</t>
        </is>
      </c>
      <c r="G4" s="48" t="n">
        <v>3.83011291</v>
      </c>
      <c r="H4" s="49" t="n">
        <v>14.8</v>
      </c>
      <c r="I4" s="43">
        <f>G4*(1+요약_대시보드!$B$29)</f>
        <v/>
      </c>
      <c r="J4" s="38">
        <f>H4+I4</f>
        <v/>
      </c>
      <c r="K4" s="39">
        <f>H4*(1+요약_대시보드!$B$20+요약_대시보드!$B$22)+요약_대시보드!$B$24+I4*(1+요약_대시보드!$B$31)+요약_대시보드!$B$43</f>
        <v/>
      </c>
      <c r="L4" s="38">
        <f>D4*요약_대시보드!$B$46/10000</f>
        <v/>
      </c>
      <c r="M4" s="39">
        <f>L4-K4</f>
        <v/>
      </c>
      <c r="N4" s="40">
        <f>M4/K4</f>
        <v/>
      </c>
      <c r="O4" s="50">
        <f>K4*10000/D4</f>
        <v/>
      </c>
    </row>
    <row r="5">
      <c r="A5" s="45" t="inlineStr">
        <is>
          <t>D5</t>
        </is>
      </c>
      <c r="B5" s="46" t="n">
        <v>65.86</v>
      </c>
      <c r="C5" s="46" t="n">
        <v>93.59999999999999</v>
      </c>
      <c r="D5" s="47">
        <f>C5/3.3058</f>
        <v/>
      </c>
      <c r="E5" s="15" t="inlineStr">
        <is>
          <t>방3/화2</t>
        </is>
      </c>
      <c r="F5" s="15" t="inlineStr">
        <is>
          <t>510동 1호</t>
        </is>
      </c>
      <c r="G5" s="48" t="n">
        <v>3.4054891</v>
      </c>
      <c r="H5" s="49" t="n">
        <v>14.5</v>
      </c>
      <c r="I5" s="43">
        <f>G5*(1+요약_대시보드!$B$29)</f>
        <v/>
      </c>
      <c r="J5" s="38">
        <f>H5+I5</f>
        <v/>
      </c>
      <c r="K5" s="39">
        <f>H5*(1+요약_대시보드!$B$20+요약_대시보드!$B$22)+요약_대시보드!$B$24+I5*(1+요약_대시보드!$B$31)+요약_대시보드!$B$43</f>
        <v/>
      </c>
      <c r="L5" s="38">
        <f>D5*요약_대시보드!$B$46/10000</f>
        <v/>
      </c>
      <c r="M5" s="39">
        <f>L5-K5</f>
        <v/>
      </c>
      <c r="N5" s="40">
        <f>M5/K5</f>
        <v/>
      </c>
      <c r="O5" s="50">
        <f>K5*10000/D5</f>
        <v/>
      </c>
    </row>
    <row r="6">
      <c r="A6" s="45" t="inlineStr">
        <is>
          <t>D6</t>
        </is>
      </c>
      <c r="B6" s="46" t="n">
        <v>56.17</v>
      </c>
      <c r="C6" s="46" t="n">
        <v>79.83</v>
      </c>
      <c r="D6" s="47">
        <f>C6/3.3058</f>
        <v/>
      </c>
      <c r="E6" s="15" t="inlineStr">
        <is>
          <t>방3/화1</t>
        </is>
      </c>
      <c r="F6" s="15" t="inlineStr">
        <is>
          <t>509동 2호</t>
        </is>
      </c>
      <c r="G6" s="48" t="n">
        <v>1.901817</v>
      </c>
      <c r="H6" s="49" t="n">
        <v>14.3</v>
      </c>
      <c r="I6" s="43">
        <f>G6*(1+요약_대시보드!$B$29)</f>
        <v/>
      </c>
      <c r="J6" s="38">
        <f>H6+I6</f>
        <v/>
      </c>
      <c r="K6" s="39">
        <f>H6*(1+요약_대시보드!$B$20+요약_대시보드!$B$22)+요약_대시보드!$B$24+I6*(1+요약_대시보드!$B$31)+요약_대시보드!$B$43</f>
        <v/>
      </c>
      <c r="L6" s="38">
        <f>D6*요약_대시보드!$B$46/10000</f>
        <v/>
      </c>
      <c r="M6" s="39">
        <f>L6-K6</f>
        <v/>
      </c>
      <c r="N6" s="40">
        <f>M6/K6</f>
        <v/>
      </c>
      <c r="O6" s="50">
        <f>K6*10000/D6</f>
        <v/>
      </c>
    </row>
    <row r="7">
      <c r="A7" s="45" t="inlineStr">
        <is>
          <t>D7</t>
        </is>
      </c>
      <c r="B7" s="46" t="n">
        <v>65.72</v>
      </c>
      <c r="C7" s="46" t="n">
        <v>93.40000000000001</v>
      </c>
      <c r="D7" s="47">
        <f>C7/3.3058</f>
        <v/>
      </c>
      <c r="E7" s="15" t="inlineStr">
        <is>
          <t>방3/화2</t>
        </is>
      </c>
      <c r="F7" s="15" t="inlineStr">
        <is>
          <t>504동1호/509동1호</t>
        </is>
      </c>
      <c r="G7" s="48" t="n">
        <v>3.499117</v>
      </c>
      <c r="H7" s="49" t="n">
        <v>14.5</v>
      </c>
      <c r="I7" s="43">
        <f>G7*(1+요약_대시보드!$B$29)</f>
        <v/>
      </c>
      <c r="J7" s="38">
        <f>H7+I7</f>
        <v/>
      </c>
      <c r="K7" s="39">
        <f>H7*(1+요약_대시보드!$B$20+요약_대시보드!$B$22)+요약_대시보드!$B$24+I7*(1+요약_대시보드!$B$31)+요약_대시보드!$B$43</f>
        <v/>
      </c>
      <c r="L7" s="38">
        <f>D7*요약_대시보드!$B$46/10000</f>
        <v/>
      </c>
      <c r="M7" s="39">
        <f>L7-K7</f>
        <v/>
      </c>
      <c r="N7" s="40">
        <f>M7/K7</f>
        <v/>
      </c>
      <c r="O7" s="50">
        <f>K7*10000/D7</f>
        <v/>
      </c>
    </row>
    <row r="8">
      <c r="A8" s="45" t="inlineStr">
        <is>
          <t>AB1</t>
        </is>
      </c>
      <c r="B8" s="46" t="n">
        <v>58.49</v>
      </c>
      <c r="C8" s="46" t="n">
        <v>83.13</v>
      </c>
      <c r="D8" s="47">
        <f>C8/3.3058</f>
        <v/>
      </c>
      <c r="E8" s="15" t="inlineStr">
        <is>
          <t>방3/화2</t>
        </is>
      </c>
      <c r="F8" s="15" t="inlineStr">
        <is>
          <t>515동 1호(신축)</t>
        </is>
      </c>
      <c r="G8" s="48" t="n">
        <v>4.26513407</v>
      </c>
      <c r="H8" s="49" t="n">
        <v>14.7</v>
      </c>
      <c r="I8" s="43">
        <f>G8*(1+요약_대시보드!$B$29)</f>
        <v/>
      </c>
      <c r="J8" s="38">
        <f>H8+I8</f>
        <v/>
      </c>
      <c r="K8" s="39">
        <f>H8*(1+요약_대시보드!$B$20+요약_대시보드!$B$22)+요약_대시보드!$B$24+I8*(1+요약_대시보드!$B$31)+요약_대시보드!$B$43</f>
        <v/>
      </c>
      <c r="L8" s="38">
        <f>D8*요약_대시보드!$B$46/10000</f>
        <v/>
      </c>
      <c r="M8" s="39">
        <f>L8-K8</f>
        <v/>
      </c>
      <c r="N8" s="40">
        <f>M8/K8</f>
        <v/>
      </c>
      <c r="O8" s="50">
        <f>K8*10000/D8</f>
        <v/>
      </c>
    </row>
    <row r="9">
      <c r="A9" s="45" t="inlineStr">
        <is>
          <t>AB2</t>
        </is>
      </c>
      <c r="B9" s="46" t="n">
        <v>58.48</v>
      </c>
      <c r="C9" s="46" t="n">
        <v>83.11</v>
      </c>
      <c r="D9" s="47">
        <f>C9/3.3058</f>
        <v/>
      </c>
      <c r="E9" s="15" t="inlineStr">
        <is>
          <t>방3/화2</t>
        </is>
      </c>
      <c r="F9" s="15" t="inlineStr">
        <is>
          <t>515동 2호(신축)</t>
        </is>
      </c>
      <c r="G9" s="48" t="n">
        <v>4.56627043</v>
      </c>
      <c r="H9" s="49" t="n">
        <v>14.7</v>
      </c>
      <c r="I9" s="43">
        <f>G9*(1+요약_대시보드!$B$29)</f>
        <v/>
      </c>
      <c r="J9" s="38">
        <f>H9+I9</f>
        <v/>
      </c>
      <c r="K9" s="39">
        <f>H9*(1+요약_대시보드!$B$20+요약_대시보드!$B$22)+요약_대시보드!$B$24+I9*(1+요약_대시보드!$B$31)+요약_대시보드!$B$43</f>
        <v/>
      </c>
      <c r="L9" s="38">
        <f>D9*요약_대시보드!$B$46/10000</f>
        <v/>
      </c>
      <c r="M9" s="39">
        <f>L9-K9</f>
        <v/>
      </c>
      <c r="N9" s="40">
        <f>M9/K9</f>
        <v/>
      </c>
      <c r="O9" s="50">
        <f>K9*10000/D9</f>
        <v/>
      </c>
    </row>
    <row r="10">
      <c r="A10" s="45" t="inlineStr">
        <is>
          <t>C3</t>
        </is>
      </c>
      <c r="B10" s="46" t="n">
        <v>59.45</v>
      </c>
      <c r="C10" s="46" t="n">
        <v>84.48999999999999</v>
      </c>
      <c r="D10" s="47">
        <f>C10/3.3058</f>
        <v/>
      </c>
      <c r="E10" s="15" t="inlineStr">
        <is>
          <t>방3/화2</t>
        </is>
      </c>
      <c r="F10" s="15" t="inlineStr">
        <is>
          <t>503동3호/512동3호</t>
        </is>
      </c>
      <c r="G10" s="48" t="n">
        <v>3.76929211</v>
      </c>
      <c r="H10" s="49" t="n">
        <v>14.5</v>
      </c>
      <c r="I10" s="43">
        <f>G10*(1+요약_대시보드!$B$29)</f>
        <v/>
      </c>
      <c r="J10" s="38">
        <f>H10+I10</f>
        <v/>
      </c>
      <c r="K10" s="39">
        <f>H10*(1+요약_대시보드!$B$20+요약_대시보드!$B$22)+요약_대시보드!$B$24+I10*(1+요약_대시보드!$B$31)+요약_대시보드!$B$43</f>
        <v/>
      </c>
      <c r="L10" s="38">
        <f>D10*요약_대시보드!$B$46/10000</f>
        <v/>
      </c>
      <c r="M10" s="39">
        <f>L10-K10</f>
        <v/>
      </c>
      <c r="N10" s="40">
        <f>M10/K10</f>
        <v/>
      </c>
      <c r="O10" s="50">
        <f>K10*10000/D10</f>
        <v/>
      </c>
    </row>
    <row r="11">
      <c r="A11" s="45" t="inlineStr">
        <is>
          <t>C4</t>
        </is>
      </c>
      <c r="B11" s="46" t="n">
        <v>59.72</v>
      </c>
      <c r="C11" s="46" t="n">
        <v>84.87</v>
      </c>
      <c r="D11" s="47">
        <f>C11/3.3058</f>
        <v/>
      </c>
      <c r="E11" s="15" t="inlineStr">
        <is>
          <t>방3/화2</t>
        </is>
      </c>
      <c r="F11" s="15" t="inlineStr">
        <is>
          <t>513동 2·3호</t>
        </is>
      </c>
      <c r="G11" s="48" t="n">
        <v>4.30120452</v>
      </c>
      <c r="H11" s="49" t="n">
        <v>14.8</v>
      </c>
      <c r="I11" s="43">
        <f>G11*(1+요약_대시보드!$B$29)</f>
        <v/>
      </c>
      <c r="J11" s="38">
        <f>H11+I11</f>
        <v/>
      </c>
      <c r="K11" s="39">
        <f>H11*(1+요약_대시보드!$B$20+요약_대시보드!$B$22)+요약_대시보드!$B$24+I11*(1+요약_대시보드!$B$31)+요약_대시보드!$B$43</f>
        <v/>
      </c>
      <c r="L11" s="38">
        <f>D11*요약_대시보드!$B$46/10000</f>
        <v/>
      </c>
      <c r="M11" s="39">
        <f>L11-K11</f>
        <v/>
      </c>
      <c r="N11" s="40">
        <f>M11/K11</f>
        <v/>
      </c>
      <c r="O11" s="50">
        <f>K11*10000/D11</f>
        <v/>
      </c>
    </row>
    <row r="12">
      <c r="A12" s="45" t="inlineStr">
        <is>
          <t>C5</t>
        </is>
      </c>
      <c r="B12" s="46" t="n">
        <v>59.23</v>
      </c>
      <c r="C12" s="46" t="n">
        <v>84.18000000000001</v>
      </c>
      <c r="D12" s="47">
        <f>C12/3.3058</f>
        <v/>
      </c>
      <c r="E12" s="15" t="inlineStr">
        <is>
          <t>방3/화2</t>
        </is>
      </c>
      <c r="F12" s="15" t="inlineStr">
        <is>
          <t>513동 1·4호</t>
        </is>
      </c>
      <c r="G12" s="48" t="n">
        <v>4.21851702</v>
      </c>
      <c r="H12" s="49" t="n">
        <v>14.5</v>
      </c>
      <c r="I12" s="43">
        <f>G12*(1+요약_대시보드!$B$29)</f>
        <v/>
      </c>
      <c r="J12" s="38">
        <f>H12+I12</f>
        <v/>
      </c>
      <c r="K12" s="39">
        <f>H12*(1+요약_대시보드!$B$20+요약_대시보드!$B$22)+요약_대시보드!$B$24+I12*(1+요약_대시보드!$B$31)+요약_대시보드!$B$43</f>
        <v/>
      </c>
      <c r="L12" s="38">
        <f>D12*요약_대시보드!$B$46/10000</f>
        <v/>
      </c>
      <c r="M12" s="39">
        <f>L12-K12</f>
        <v/>
      </c>
      <c r="N12" s="40">
        <f>M12/K12</f>
        <v/>
      </c>
      <c r="O12" s="50">
        <f>K12*10000/D12</f>
        <v/>
      </c>
    </row>
    <row r="14">
      <c r="A14" s="44" t="inlineStr">
        <is>
          <t>▶ 해석: 공급면적 "84"라도 전용은 59㎡(25평)인 C·AB타입은 분담금이 높아 BEP 평당가 8,000만↑ → 불리. D타입(특히 D3 복층 31평)이 면적 대비 분담금이 낮아 BEP 6,700~7,100만으로 가장 유리.</t>
        </is>
      </c>
    </row>
    <row r="15"/>
  </sheetData>
  <mergeCells count="1">
    <mergeCell ref="A14:O15"/>
  </mergeCells>
  <conditionalFormatting sqref="M4:M12">
    <cfRule dxfId="0" operator="lessThan" priority="1" type="cellIs">
      <formula>0</formula>
    </cfRule>
    <cfRule dxfId="1" operator="greaterThanOrEqual" priority="2" type="cellIs">
      <formula>0</formula>
    </cfRule>
  </conditionalFormatting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customHeight="1" defaultColWidth="12.63" defaultRowHeight="15.75"/>
  <sheetData>
    <row r="1">
      <c r="A1" s="1" t="inlineStr">
        <is>
          <t>동</t>
        </is>
      </c>
      <c r="B1" s="1" t="inlineStr">
        <is>
          <t>층</t>
        </is>
      </c>
      <c r="C1" s="4" t="inlineStr">
        <is>
          <t>호가</t>
        </is>
      </c>
      <c r="D1" s="1" t="inlineStr">
        <is>
          <t>변경타입</t>
        </is>
      </c>
      <c r="E1" s="1" t="inlineStr">
        <is>
          <t>기타조건</t>
        </is>
      </c>
      <c r="G1" s="51" t="inlineStr">
        <is>
          <t>※ 변경타입의 분담금/면적은 [리모델링정보] 시트, 투자성은 [타입별_비교] 참고</t>
        </is>
      </c>
    </row>
    <row r="2">
      <c r="A2" s="1" t="n">
        <v>510</v>
      </c>
      <c r="B2" s="1" t="n">
        <v>15</v>
      </c>
      <c r="C2" s="4" t="n">
        <v>1480000000</v>
      </c>
      <c r="D2" s="3" t="inlineStr">
        <is>
          <t>D5</t>
        </is>
      </c>
      <c r="E2" s="1" t="inlineStr">
        <is>
          <t>남향</t>
        </is>
      </c>
    </row>
    <row r="3">
      <c r="A3" s="1" t="n">
        <v>510</v>
      </c>
      <c r="B3" s="1" t="n">
        <v>11</v>
      </c>
      <c r="C3" s="4" t="n">
        <v>1480000000</v>
      </c>
      <c r="D3" s="1" t="inlineStr">
        <is>
          <t>AB1 or AB2</t>
        </is>
      </c>
      <c r="E3" s="1" t="inlineStr">
        <is>
          <t>남향</t>
        </is>
      </c>
    </row>
    <row r="4">
      <c r="A4" s="1" t="n">
        <v>512</v>
      </c>
      <c r="B4" s="1" t="n">
        <v>25</v>
      </c>
      <c r="C4" s="4" t="n">
        <v>1450000000</v>
      </c>
      <c r="D4" s="1" t="inlineStr">
        <is>
          <t>C5</t>
        </is>
      </c>
      <c r="E4" s="1" t="inlineStr">
        <is>
          <t>정남향/이주비대출</t>
        </is>
      </c>
    </row>
    <row r="5">
      <c r="A5" s="1" t="n">
        <v>510</v>
      </c>
      <c r="B5" s="1" t="n">
        <v>6</v>
      </c>
      <c r="C5" s="4" t="n">
        <v>1500000000</v>
      </c>
      <c r="D5" s="1" t="inlineStr">
        <is>
          <t>D5</t>
        </is>
      </c>
      <c r="E5" s="3" t="inlineStr">
        <is>
          <t>정남향</t>
        </is>
      </c>
    </row>
    <row r="6">
      <c r="A6" s="1" t="n">
        <v>503</v>
      </c>
      <c r="B6" s="1" t="n">
        <v>17</v>
      </c>
      <c r="C6" s="4" t="n">
        <v>1480000000</v>
      </c>
      <c r="D6" s="1" t="inlineStr">
        <is>
          <t>C4</t>
        </is>
      </c>
      <c r="E6" s="1" t="inlineStr">
        <is>
          <t>정남향</t>
        </is>
      </c>
    </row>
    <row r="7">
      <c r="A7" s="1" t="n">
        <v>509</v>
      </c>
      <c r="B7" s="1" t="n">
        <v>13</v>
      </c>
      <c r="C7" s="4" t="n">
        <v>1450000000</v>
      </c>
      <c r="D7" s="1" t="inlineStr">
        <is>
          <t>D7</t>
        </is>
      </c>
    </row>
    <row r="8">
      <c r="A8" s="1" t="n">
        <v>512</v>
      </c>
      <c r="B8" s="1" t="n">
        <v>16</v>
      </c>
      <c r="C8" s="4" t="n">
        <v>1450000000</v>
      </c>
      <c r="D8" s="1" t="inlineStr">
        <is>
          <t>C5</t>
        </is>
      </c>
      <c r="E8" s="1" t="inlineStr">
        <is>
          <t>남향</t>
        </is>
      </c>
    </row>
    <row r="9">
      <c r="A9" s="1" t="n">
        <v>510</v>
      </c>
      <c r="B9" s="1" t="n">
        <v>4</v>
      </c>
      <c r="C9" s="4" t="n">
        <v>1470000000</v>
      </c>
      <c r="D9" s="1" t="inlineStr">
        <is>
          <t>AB1 or AB2</t>
        </is>
      </c>
      <c r="E9" s="1" t="inlineStr">
        <is>
          <t>남향</t>
        </is>
      </c>
    </row>
    <row r="10">
      <c r="A10" s="1" t="n">
        <v>510</v>
      </c>
      <c r="B10" s="1" t="n">
        <v>5</v>
      </c>
      <c r="C10" s="4" t="n">
        <v>1450000000</v>
      </c>
      <c r="D10" s="3" t="inlineStr">
        <is>
          <t>D5</t>
        </is>
      </c>
    </row>
    <row r="11">
      <c r="C11" s="4" t="n"/>
    </row>
    <row r="12">
      <c r="C12" s="4" t="n"/>
    </row>
    <row r="13">
      <c r="C13" s="4" t="n"/>
    </row>
    <row r="14">
      <c r="C14" s="4" t="n"/>
    </row>
    <row r="15">
      <c r="C15" s="4" t="n"/>
    </row>
    <row r="16">
      <c r="C16" s="4" t="n"/>
    </row>
    <row r="17">
      <c r="C17" s="4" t="n"/>
    </row>
    <row r="18">
      <c r="C18" s="4" t="n"/>
    </row>
    <row r="19">
      <c r="C19" s="4" t="n"/>
    </row>
    <row r="20">
      <c r="C20" s="4" t="n"/>
    </row>
    <row r="21">
      <c r="C21" s="4" t="n"/>
    </row>
    <row r="22">
      <c r="C22" s="4" t="n"/>
    </row>
    <row r="23">
      <c r="C23" s="4" t="n"/>
    </row>
    <row r="24">
      <c r="C24" s="4" t="n"/>
    </row>
    <row r="25">
      <c r="C25" s="4" t="n"/>
    </row>
    <row r="26">
      <c r="C26" s="4" t="n"/>
    </row>
    <row r="27">
      <c r="C27" s="4" t="n"/>
    </row>
    <row r="28">
      <c r="C28" s="4" t="n"/>
    </row>
    <row r="29">
      <c r="C29" s="4" t="n"/>
    </row>
    <row r="30">
      <c r="C30" s="4" t="n"/>
    </row>
    <row r="31">
      <c r="C31" s="4" t="n"/>
    </row>
    <row r="32">
      <c r="C32" s="4" t="n"/>
    </row>
    <row r="33">
      <c r="C33" s="4" t="n"/>
    </row>
    <row r="34">
      <c r="C34" s="4" t="n"/>
    </row>
    <row r="35">
      <c r="C35" s="4" t="n"/>
    </row>
    <row r="36">
      <c r="C36" s="4" t="n"/>
    </row>
    <row r="37">
      <c r="C37" s="4" t="n"/>
    </row>
    <row r="38">
      <c r="C38" s="4" t="n"/>
    </row>
    <row r="39">
      <c r="C39" s="4" t="n"/>
    </row>
    <row r="40">
      <c r="C40" s="4" t="n"/>
    </row>
    <row r="41">
      <c r="C41" s="4" t="n"/>
    </row>
    <row r="42">
      <c r="C42" s="4" t="n"/>
    </row>
    <row r="43">
      <c r="C43" s="4" t="n"/>
    </row>
    <row r="44">
      <c r="C44" s="4" t="n"/>
    </row>
    <row r="45">
      <c r="C45" s="4" t="n"/>
    </row>
    <row r="46">
      <c r="C46" s="4" t="n"/>
    </row>
    <row r="47">
      <c r="C47" s="4" t="n"/>
    </row>
    <row r="48">
      <c r="C48" s="4" t="n"/>
    </row>
    <row r="49">
      <c r="C49" s="4" t="n"/>
    </row>
    <row r="50">
      <c r="C50" s="4" t="n"/>
    </row>
    <row r="51">
      <c r="C51" s="4" t="n"/>
    </row>
    <row r="52">
      <c r="C52" s="4" t="n"/>
    </row>
    <row r="53">
      <c r="C53" s="4" t="n"/>
    </row>
    <row r="54">
      <c r="C54" s="4" t="n"/>
    </row>
    <row r="55">
      <c r="C55" s="4" t="n"/>
    </row>
    <row r="56">
      <c r="C56" s="4" t="n"/>
    </row>
    <row r="57">
      <c r="C57" s="4" t="n"/>
    </row>
    <row r="58">
      <c r="C58" s="4" t="n"/>
    </row>
    <row r="59">
      <c r="C59" s="4" t="n"/>
    </row>
    <row r="60">
      <c r="C60" s="4" t="n"/>
    </row>
    <row r="61">
      <c r="C61" s="4" t="n"/>
    </row>
    <row r="62">
      <c r="C62" s="4" t="n"/>
    </row>
    <row r="63">
      <c r="C63" s="4" t="n"/>
    </row>
    <row r="64">
      <c r="C64" s="4" t="n"/>
    </row>
    <row r="65">
      <c r="C65" s="4" t="n"/>
    </row>
    <row r="66">
      <c r="C66" s="4" t="n"/>
    </row>
    <row r="67">
      <c r="C67" s="4" t="n"/>
    </row>
    <row r="68">
      <c r="C68" s="4" t="n"/>
    </row>
    <row r="69">
      <c r="C69" s="4" t="n"/>
    </row>
    <row r="70">
      <c r="C70" s="4" t="n"/>
    </row>
    <row r="71">
      <c r="C71" s="4" t="n"/>
    </row>
    <row r="72">
      <c r="C72" s="4" t="n"/>
    </row>
    <row r="73">
      <c r="C73" s="4" t="n"/>
    </row>
    <row r="74">
      <c r="C74" s="4" t="n"/>
    </row>
    <row r="75">
      <c r="C75" s="4" t="n"/>
    </row>
    <row r="76">
      <c r="C76" s="4" t="n"/>
    </row>
    <row r="77">
      <c r="C77" s="4" t="n"/>
    </row>
    <row r="78">
      <c r="C78" s="4" t="n"/>
    </row>
    <row r="79">
      <c r="C79" s="4" t="n"/>
    </row>
    <row r="80">
      <c r="C80" s="4" t="n"/>
    </row>
    <row r="81">
      <c r="C81" s="4" t="n"/>
    </row>
    <row r="82">
      <c r="C82" s="4" t="n"/>
    </row>
    <row r="83">
      <c r="C83" s="4" t="n"/>
    </row>
    <row r="84">
      <c r="C84" s="4" t="n"/>
    </row>
    <row r="85">
      <c r="C85" s="4" t="n"/>
    </row>
    <row r="86">
      <c r="C86" s="4" t="n"/>
    </row>
    <row r="87">
      <c r="C87" s="4" t="n"/>
    </row>
    <row r="88">
      <c r="C88" s="4" t="n"/>
    </row>
    <row r="89">
      <c r="C89" s="4" t="n"/>
    </row>
    <row r="90">
      <c r="C90" s="4" t="n"/>
    </row>
    <row r="91">
      <c r="C91" s="4" t="n"/>
    </row>
    <row r="92">
      <c r="C92" s="4" t="n"/>
    </row>
    <row r="93">
      <c r="C93" s="4" t="n"/>
    </row>
    <row r="94">
      <c r="C94" s="4" t="n"/>
    </row>
    <row r="95">
      <c r="C95" s="4" t="n"/>
    </row>
    <row r="96">
      <c r="C96" s="4" t="n"/>
    </row>
    <row r="97">
      <c r="C97" s="4" t="n"/>
    </row>
    <row r="98">
      <c r="C98" s="4" t="n"/>
    </row>
    <row r="99">
      <c r="C99" s="4" t="n"/>
    </row>
    <row r="100">
      <c r="C100" s="4" t="n"/>
    </row>
    <row r="101">
      <c r="C101" s="4" t="n"/>
    </row>
    <row r="102">
      <c r="C102" s="4" t="n"/>
    </row>
    <row r="103">
      <c r="C103" s="4" t="n"/>
    </row>
    <row r="104">
      <c r="C104" s="4" t="n"/>
    </row>
    <row r="105">
      <c r="C105" s="4" t="n"/>
    </row>
    <row r="106">
      <c r="C106" s="4" t="n"/>
    </row>
    <row r="107">
      <c r="C107" s="4" t="n"/>
    </row>
    <row r="108">
      <c r="C108" s="4" t="n"/>
    </row>
    <row r="109">
      <c r="C109" s="4" t="n"/>
    </row>
    <row r="110">
      <c r="C110" s="4" t="n"/>
    </row>
    <row r="111">
      <c r="C111" s="4" t="n"/>
    </row>
    <row r="112">
      <c r="C112" s="4" t="n"/>
    </row>
    <row r="113">
      <c r="C113" s="4" t="n"/>
    </row>
    <row r="114">
      <c r="C114" s="4" t="n"/>
    </row>
    <row r="115">
      <c r="C115" s="4" t="n"/>
    </row>
    <row r="116">
      <c r="C116" s="4" t="n"/>
    </row>
    <row r="117">
      <c r="C117" s="4" t="n"/>
    </row>
    <row r="118">
      <c r="C118" s="4" t="n"/>
    </row>
    <row r="119">
      <c r="C119" s="4" t="n"/>
    </row>
    <row r="120">
      <c r="C120" s="4" t="n"/>
    </row>
    <row r="121">
      <c r="C121" s="4" t="n"/>
    </row>
    <row r="122">
      <c r="C122" s="4" t="n"/>
    </row>
    <row r="123">
      <c r="C123" s="4" t="n"/>
    </row>
    <row r="124">
      <c r="C124" s="4" t="n"/>
    </row>
    <row r="125">
      <c r="C125" s="4" t="n"/>
    </row>
    <row r="126">
      <c r="C126" s="4" t="n"/>
    </row>
    <row r="127">
      <c r="C127" s="4" t="n"/>
    </row>
    <row r="128">
      <c r="C128" s="4" t="n"/>
    </row>
    <row r="129">
      <c r="C129" s="4" t="n"/>
    </row>
    <row r="130">
      <c r="C130" s="4" t="n"/>
    </row>
    <row r="131">
      <c r="C131" s="4" t="n"/>
    </row>
    <row r="132">
      <c r="C132" s="4" t="n"/>
    </row>
    <row r="133">
      <c r="C133" s="4" t="n"/>
    </row>
    <row r="134">
      <c r="C134" s="4" t="n"/>
    </row>
    <row r="135">
      <c r="C135" s="4" t="n"/>
    </row>
    <row r="136">
      <c r="C136" s="4" t="n"/>
    </row>
    <row r="137">
      <c r="C137" s="4" t="n"/>
    </row>
    <row r="138">
      <c r="C138" s="4" t="n"/>
    </row>
    <row r="139">
      <c r="C139" s="4" t="n"/>
    </row>
    <row r="140">
      <c r="C140" s="4" t="n"/>
    </row>
    <row r="141">
      <c r="C141" s="4" t="n"/>
    </row>
    <row r="142">
      <c r="C142" s="4" t="n"/>
    </row>
    <row r="143">
      <c r="C143" s="4" t="n"/>
    </row>
    <row r="144">
      <c r="C144" s="4" t="n"/>
    </row>
    <row r="145">
      <c r="C145" s="4" t="n"/>
    </row>
    <row r="146">
      <c r="C146" s="4" t="n"/>
    </row>
    <row r="147">
      <c r="C147" s="4" t="n"/>
    </row>
    <row r="148">
      <c r="C148" s="4" t="n"/>
    </row>
    <row r="149">
      <c r="C149" s="4" t="n"/>
    </row>
    <row r="150">
      <c r="C150" s="4" t="n"/>
    </row>
    <row r="151">
      <c r="C151" s="4" t="n"/>
    </row>
    <row r="152">
      <c r="C152" s="4" t="n"/>
    </row>
    <row r="153">
      <c r="C153" s="4" t="n"/>
    </row>
    <row r="154">
      <c r="C154" s="4" t="n"/>
    </row>
    <row r="155">
      <c r="C155" s="4" t="n"/>
    </row>
    <row r="156">
      <c r="C156" s="4" t="n"/>
    </row>
    <row r="157">
      <c r="C157" s="4" t="n"/>
    </row>
    <row r="158">
      <c r="C158" s="4" t="n"/>
    </row>
    <row r="159">
      <c r="C159" s="4" t="n"/>
    </row>
    <row r="160">
      <c r="C160" s="4" t="n"/>
    </row>
    <row r="161">
      <c r="C161" s="4" t="n"/>
    </row>
    <row r="162">
      <c r="C162" s="4" t="n"/>
    </row>
    <row r="163">
      <c r="C163" s="4" t="n"/>
    </row>
    <row r="164">
      <c r="C164" s="4" t="n"/>
    </row>
    <row r="165">
      <c r="C165" s="4" t="n"/>
    </row>
    <row r="166">
      <c r="C166" s="4" t="n"/>
    </row>
    <row r="167">
      <c r="C167" s="4" t="n"/>
    </row>
    <row r="168">
      <c r="C168" s="4" t="n"/>
    </row>
    <row r="169">
      <c r="C169" s="4" t="n"/>
    </row>
    <row r="170">
      <c r="C170" s="4" t="n"/>
    </row>
    <row r="171">
      <c r="C171" s="4" t="n"/>
    </row>
    <row r="172">
      <c r="C172" s="4" t="n"/>
    </row>
    <row r="173">
      <c r="C173" s="4" t="n"/>
    </row>
    <row r="174">
      <c r="C174" s="4" t="n"/>
    </row>
    <row r="175">
      <c r="C175" s="4" t="n"/>
    </row>
    <row r="176">
      <c r="C176" s="4" t="n"/>
    </row>
    <row r="177">
      <c r="C177" s="4" t="n"/>
    </row>
    <row r="178">
      <c r="C178" s="4" t="n"/>
    </row>
    <row r="179">
      <c r="C179" s="4" t="n"/>
    </row>
    <row r="180">
      <c r="C180" s="4" t="n"/>
    </row>
    <row r="181">
      <c r="C181" s="4" t="n"/>
    </row>
    <row r="182">
      <c r="C182" s="4" t="n"/>
    </row>
    <row r="183">
      <c r="C183" s="4" t="n"/>
    </row>
    <row r="184">
      <c r="C184" s="4" t="n"/>
    </row>
    <row r="185">
      <c r="C185" s="4" t="n"/>
    </row>
    <row r="186">
      <c r="C186" s="4" t="n"/>
    </row>
    <row r="187">
      <c r="C187" s="4" t="n"/>
    </row>
    <row r="188">
      <c r="C188" s="4" t="n"/>
    </row>
    <row r="189">
      <c r="C189" s="4" t="n"/>
    </row>
    <row r="190">
      <c r="C190" s="4" t="n"/>
    </row>
    <row r="191">
      <c r="C191" s="4" t="n"/>
    </row>
    <row r="192">
      <c r="C192" s="4" t="n"/>
    </row>
    <row r="193">
      <c r="C193" s="4" t="n"/>
    </row>
    <row r="194">
      <c r="C194" s="4" t="n"/>
    </row>
    <row r="195">
      <c r="C195" s="4" t="n"/>
    </row>
    <row r="196">
      <c r="C196" s="4" t="n"/>
    </row>
    <row r="197">
      <c r="C197" s="4" t="n"/>
    </row>
    <row r="198">
      <c r="C198" s="4" t="n"/>
    </row>
    <row r="199">
      <c r="C199" s="4" t="n"/>
    </row>
    <row r="200">
      <c r="C200" s="4" t="n"/>
    </row>
    <row r="201">
      <c r="C201" s="4" t="n"/>
    </row>
    <row r="202">
      <c r="C202" s="4" t="n"/>
    </row>
    <row r="203">
      <c r="C203" s="4" t="n"/>
    </row>
    <row r="204">
      <c r="C204" s="4" t="n"/>
    </row>
    <row r="205">
      <c r="C205" s="4" t="n"/>
    </row>
    <row r="206">
      <c r="C206" s="4" t="n"/>
    </row>
    <row r="207">
      <c r="C207" s="4" t="n"/>
    </row>
    <row r="208">
      <c r="C208" s="4" t="n"/>
    </row>
    <row r="209">
      <c r="C209" s="4" t="n"/>
    </row>
    <row r="210">
      <c r="C210" s="4" t="n"/>
    </row>
    <row r="211">
      <c r="C211" s="4" t="n"/>
    </row>
    <row r="212">
      <c r="C212" s="4" t="n"/>
    </row>
    <row r="213">
      <c r="C213" s="4" t="n"/>
    </row>
    <row r="214">
      <c r="C214" s="4" t="n"/>
    </row>
    <row r="215">
      <c r="C215" s="4" t="n"/>
    </row>
    <row r="216">
      <c r="C216" s="4" t="n"/>
    </row>
    <row r="217">
      <c r="C217" s="4" t="n"/>
    </row>
    <row r="218">
      <c r="C218" s="4" t="n"/>
    </row>
    <row r="219">
      <c r="C219" s="4" t="n"/>
    </row>
    <row r="220">
      <c r="C220" s="4" t="n"/>
    </row>
    <row r="221">
      <c r="C221" s="4" t="n"/>
    </row>
    <row r="222">
      <c r="C222" s="4" t="n"/>
    </row>
    <row r="223">
      <c r="C223" s="4" t="n"/>
    </row>
    <row r="224">
      <c r="C224" s="4" t="n"/>
    </row>
    <row r="225">
      <c r="C225" s="4" t="n"/>
    </row>
    <row r="226">
      <c r="C226" s="4" t="n"/>
    </row>
    <row r="227">
      <c r="C227" s="4" t="n"/>
    </row>
    <row r="228">
      <c r="C228" s="4" t="n"/>
    </row>
    <row r="229">
      <c r="C229" s="4" t="n"/>
    </row>
    <row r="230">
      <c r="C230" s="4" t="n"/>
    </row>
    <row r="231">
      <c r="C231" s="4" t="n"/>
    </row>
    <row r="232">
      <c r="C232" s="4" t="n"/>
    </row>
    <row r="233">
      <c r="C233" s="4" t="n"/>
    </row>
    <row r="234">
      <c r="C234" s="4" t="n"/>
    </row>
    <row r="235">
      <c r="C235" s="4" t="n"/>
    </row>
    <row r="236">
      <c r="C236" s="4" t="n"/>
    </row>
    <row r="237">
      <c r="C237" s="4" t="n"/>
    </row>
    <row r="238">
      <c r="C238" s="4" t="n"/>
    </row>
    <row r="239">
      <c r="C239" s="4" t="n"/>
    </row>
    <row r="240">
      <c r="C240" s="4" t="n"/>
    </row>
    <row r="241">
      <c r="C241" s="4" t="n"/>
    </row>
    <row r="242">
      <c r="C242" s="4" t="n"/>
    </row>
    <row r="243">
      <c r="C243" s="4" t="n"/>
    </row>
    <row r="244">
      <c r="C244" s="4" t="n"/>
    </row>
    <row r="245">
      <c r="C245" s="4" t="n"/>
    </row>
    <row r="246">
      <c r="C246" s="4" t="n"/>
    </row>
    <row r="247">
      <c r="C247" s="4" t="n"/>
    </row>
    <row r="248">
      <c r="C248" s="4" t="n"/>
    </row>
    <row r="249">
      <c r="C249" s="4" t="n"/>
    </row>
    <row r="250">
      <c r="C250" s="4" t="n"/>
    </row>
    <row r="251">
      <c r="C251" s="4" t="n"/>
    </row>
    <row r="252">
      <c r="C252" s="4" t="n"/>
    </row>
    <row r="253">
      <c r="C253" s="4" t="n"/>
    </row>
    <row r="254">
      <c r="C254" s="4" t="n"/>
    </row>
    <row r="255">
      <c r="C255" s="4" t="n"/>
    </row>
    <row r="256">
      <c r="C256" s="4" t="n"/>
    </row>
    <row r="257">
      <c r="C257" s="4" t="n"/>
    </row>
    <row r="258">
      <c r="C258" s="4" t="n"/>
    </row>
    <row r="259">
      <c r="C259" s="4" t="n"/>
    </row>
    <row r="260">
      <c r="C260" s="4" t="n"/>
    </row>
    <row r="261">
      <c r="C261" s="4" t="n"/>
    </row>
    <row r="262">
      <c r="C262" s="4" t="n"/>
    </row>
    <row r="263">
      <c r="C263" s="4" t="n"/>
    </row>
    <row r="264">
      <c r="C264" s="4" t="n"/>
    </row>
    <row r="265">
      <c r="C265" s="4" t="n"/>
    </row>
    <row r="266">
      <c r="C266" s="4" t="n"/>
    </row>
    <row r="267">
      <c r="C267" s="4" t="n"/>
    </row>
    <row r="268">
      <c r="C268" s="4" t="n"/>
    </row>
    <row r="269">
      <c r="C269" s="4" t="n"/>
    </row>
    <row r="270">
      <c r="C270" s="4" t="n"/>
    </row>
    <row r="271">
      <c r="C271" s="4" t="n"/>
    </row>
    <row r="272">
      <c r="C272" s="4" t="n"/>
    </row>
    <row r="273">
      <c r="C273" s="4" t="n"/>
    </row>
    <row r="274">
      <c r="C274" s="4" t="n"/>
    </row>
    <row r="275">
      <c r="C275" s="4" t="n"/>
    </row>
    <row r="276">
      <c r="C276" s="4" t="n"/>
    </row>
    <row r="277">
      <c r="C277" s="4" t="n"/>
    </row>
    <row r="278">
      <c r="C278" s="4" t="n"/>
    </row>
    <row r="279">
      <c r="C279" s="4" t="n"/>
    </row>
    <row r="280">
      <c r="C280" s="4" t="n"/>
    </row>
    <row r="281">
      <c r="C281" s="4" t="n"/>
    </row>
    <row r="282">
      <c r="C282" s="4" t="n"/>
    </row>
    <row r="283">
      <c r="C283" s="4" t="n"/>
    </row>
    <row r="284">
      <c r="C284" s="4" t="n"/>
    </row>
    <row r="285">
      <c r="C285" s="4" t="n"/>
    </row>
    <row r="286">
      <c r="C286" s="4" t="n"/>
    </row>
    <row r="287">
      <c r="C287" s="4" t="n"/>
    </row>
    <row r="288">
      <c r="C288" s="4" t="n"/>
    </row>
    <row r="289">
      <c r="C289" s="4" t="n"/>
    </row>
    <row r="290">
      <c r="C290" s="4" t="n"/>
    </row>
    <row r="291">
      <c r="C291" s="4" t="n"/>
    </row>
    <row r="292">
      <c r="C292" s="4" t="n"/>
    </row>
    <row r="293">
      <c r="C293" s="4" t="n"/>
    </row>
    <row r="294">
      <c r="C294" s="4" t="n"/>
    </row>
    <row r="295">
      <c r="C295" s="4" t="n"/>
    </row>
    <row r="296">
      <c r="C296" s="4" t="n"/>
    </row>
    <row r="297">
      <c r="C297" s="4" t="n"/>
    </row>
    <row r="298">
      <c r="C298" s="4" t="n"/>
    </row>
    <row r="299">
      <c r="C299" s="4" t="n"/>
    </row>
    <row r="300">
      <c r="C300" s="4" t="n"/>
    </row>
    <row r="301">
      <c r="C301" s="4" t="n"/>
    </row>
    <row r="302">
      <c r="C302" s="4" t="n"/>
    </row>
    <row r="303">
      <c r="C303" s="4" t="n"/>
    </row>
    <row r="304">
      <c r="C304" s="4" t="n"/>
    </row>
    <row r="305">
      <c r="C305" s="4" t="n"/>
    </row>
    <row r="306">
      <c r="C306" s="4" t="n"/>
    </row>
    <row r="307">
      <c r="C307" s="4" t="n"/>
    </row>
    <row r="308">
      <c r="C308" s="4" t="n"/>
    </row>
    <row r="309">
      <c r="C309" s="4" t="n"/>
    </row>
    <row r="310">
      <c r="C310" s="4" t="n"/>
    </row>
    <row r="311">
      <c r="C311" s="4" t="n"/>
    </row>
    <row r="312">
      <c r="C312" s="4" t="n"/>
    </row>
    <row r="313">
      <c r="C313" s="4" t="n"/>
    </row>
    <row r="314">
      <c r="C314" s="4" t="n"/>
    </row>
    <row r="315">
      <c r="C315" s="4" t="n"/>
    </row>
    <row r="316">
      <c r="C316" s="4" t="n"/>
    </row>
    <row r="317">
      <c r="C317" s="4" t="n"/>
    </row>
    <row r="318">
      <c r="C318" s="4" t="n"/>
    </row>
    <row r="319">
      <c r="C319" s="4" t="n"/>
    </row>
    <row r="320">
      <c r="C320" s="4" t="n"/>
    </row>
    <row r="321">
      <c r="C321" s="4" t="n"/>
    </row>
    <row r="322">
      <c r="C322" s="4" t="n"/>
    </row>
    <row r="323">
      <c r="C323" s="4" t="n"/>
    </row>
    <row r="324">
      <c r="C324" s="4" t="n"/>
    </row>
    <row r="325">
      <c r="C325" s="4" t="n"/>
    </row>
    <row r="326">
      <c r="C326" s="4" t="n"/>
    </row>
    <row r="327">
      <c r="C327" s="4" t="n"/>
    </row>
    <row r="328">
      <c r="C328" s="4" t="n"/>
    </row>
    <row r="329">
      <c r="C329" s="4" t="n"/>
    </row>
    <row r="330">
      <c r="C330" s="4" t="n"/>
    </row>
    <row r="331">
      <c r="C331" s="4" t="n"/>
    </row>
    <row r="332">
      <c r="C332" s="4" t="n"/>
    </row>
    <row r="333">
      <c r="C333" s="4" t="n"/>
    </row>
    <row r="334">
      <c r="C334" s="4" t="n"/>
    </row>
    <row r="335">
      <c r="C335" s="4" t="n"/>
    </row>
    <row r="336">
      <c r="C336" s="4" t="n"/>
    </row>
    <row r="337">
      <c r="C337" s="4" t="n"/>
    </row>
    <row r="338">
      <c r="C338" s="4" t="n"/>
    </row>
    <row r="339">
      <c r="C339" s="4" t="n"/>
    </row>
    <row r="340">
      <c r="C340" s="4" t="n"/>
    </row>
    <row r="341">
      <c r="C341" s="4" t="n"/>
    </row>
    <row r="342">
      <c r="C342" s="4" t="n"/>
    </row>
    <row r="343">
      <c r="C343" s="4" t="n"/>
    </row>
    <row r="344">
      <c r="C344" s="4" t="n"/>
    </row>
    <row r="345">
      <c r="C345" s="4" t="n"/>
    </row>
    <row r="346">
      <c r="C346" s="4" t="n"/>
    </row>
    <row r="347">
      <c r="C347" s="4" t="n"/>
    </row>
    <row r="348">
      <c r="C348" s="4" t="n"/>
    </row>
    <row r="349">
      <c r="C349" s="4" t="n"/>
    </row>
    <row r="350">
      <c r="C350" s="4" t="n"/>
    </row>
    <row r="351">
      <c r="C351" s="4" t="n"/>
    </row>
    <row r="352">
      <c r="C352" s="4" t="n"/>
    </row>
    <row r="353">
      <c r="C353" s="4" t="n"/>
    </row>
    <row r="354">
      <c r="C354" s="4" t="n"/>
    </row>
    <row r="355">
      <c r="C355" s="4" t="n"/>
    </row>
    <row r="356">
      <c r="C356" s="4" t="n"/>
    </row>
    <row r="357">
      <c r="C357" s="4" t="n"/>
    </row>
    <row r="358">
      <c r="C358" s="4" t="n"/>
    </row>
    <row r="359">
      <c r="C359" s="4" t="n"/>
    </row>
    <row r="360">
      <c r="C360" s="4" t="n"/>
    </row>
    <row r="361">
      <c r="C361" s="4" t="n"/>
    </row>
    <row r="362">
      <c r="C362" s="4" t="n"/>
    </row>
    <row r="363">
      <c r="C363" s="4" t="n"/>
    </row>
    <row r="364">
      <c r="C364" s="4" t="n"/>
    </row>
    <row r="365">
      <c r="C365" s="4" t="n"/>
    </row>
    <row r="366">
      <c r="C366" s="4" t="n"/>
    </row>
    <row r="367">
      <c r="C367" s="4" t="n"/>
    </row>
    <row r="368">
      <c r="C368" s="4" t="n"/>
    </row>
    <row r="369">
      <c r="C369" s="4" t="n"/>
    </row>
    <row r="370">
      <c r="C370" s="4" t="n"/>
    </row>
    <row r="371">
      <c r="C371" s="4" t="n"/>
    </row>
    <row r="372">
      <c r="C372" s="4" t="n"/>
    </row>
    <row r="373">
      <c r="C373" s="4" t="n"/>
    </row>
    <row r="374">
      <c r="C374" s="4" t="n"/>
    </row>
    <row r="375">
      <c r="C375" s="4" t="n"/>
    </row>
    <row r="376">
      <c r="C376" s="4" t="n"/>
    </row>
    <row r="377">
      <c r="C377" s="4" t="n"/>
    </row>
    <row r="378">
      <c r="C378" s="4" t="n"/>
    </row>
    <row r="379">
      <c r="C379" s="4" t="n"/>
    </row>
    <row r="380">
      <c r="C380" s="4" t="n"/>
    </row>
    <row r="381">
      <c r="C381" s="4" t="n"/>
    </row>
    <row r="382">
      <c r="C382" s="4" t="n"/>
    </row>
    <row r="383">
      <c r="C383" s="4" t="n"/>
    </row>
    <row r="384">
      <c r="C384" s="4" t="n"/>
    </row>
    <row r="385">
      <c r="C385" s="4" t="n"/>
    </row>
    <row r="386">
      <c r="C386" s="4" t="n"/>
    </row>
    <row r="387">
      <c r="C387" s="4" t="n"/>
    </row>
    <row r="388">
      <c r="C388" s="4" t="n"/>
    </row>
    <row r="389">
      <c r="C389" s="4" t="n"/>
    </row>
    <row r="390">
      <c r="C390" s="4" t="n"/>
    </row>
    <row r="391">
      <c r="C391" s="4" t="n"/>
    </row>
    <row r="392">
      <c r="C392" s="4" t="n"/>
    </row>
    <row r="393">
      <c r="C393" s="4" t="n"/>
    </row>
    <row r="394">
      <c r="C394" s="4" t="n"/>
    </row>
    <row r="395">
      <c r="C395" s="4" t="n"/>
    </row>
    <row r="396">
      <c r="C396" s="4" t="n"/>
    </row>
    <row r="397">
      <c r="C397" s="4" t="n"/>
    </row>
    <row r="398">
      <c r="C398" s="4" t="n"/>
    </row>
    <row r="399">
      <c r="C399" s="4" t="n"/>
    </row>
    <row r="400">
      <c r="C400" s="4" t="n"/>
    </row>
    <row r="401">
      <c r="C401" s="4" t="n"/>
    </row>
    <row r="402">
      <c r="C402" s="4" t="n"/>
    </row>
    <row r="403">
      <c r="C403" s="4" t="n"/>
    </row>
    <row r="404">
      <c r="C404" s="4" t="n"/>
    </row>
    <row r="405">
      <c r="C405" s="4" t="n"/>
    </row>
    <row r="406">
      <c r="C406" s="4" t="n"/>
    </row>
    <row r="407">
      <c r="C407" s="4" t="n"/>
    </row>
    <row r="408">
      <c r="C408" s="4" t="n"/>
    </row>
    <row r="409">
      <c r="C409" s="4" t="n"/>
    </row>
    <row r="410">
      <c r="C410" s="4" t="n"/>
    </row>
    <row r="411">
      <c r="C411" s="4" t="n"/>
    </row>
    <row r="412">
      <c r="C412" s="4" t="n"/>
    </row>
    <row r="413">
      <c r="C413" s="4" t="n"/>
    </row>
    <row r="414">
      <c r="C414" s="4" t="n"/>
    </row>
    <row r="415">
      <c r="C415" s="4" t="n"/>
    </row>
    <row r="416">
      <c r="C416" s="4" t="n"/>
    </row>
    <row r="417">
      <c r="C417" s="4" t="n"/>
    </row>
    <row r="418">
      <c r="C418" s="4" t="n"/>
    </row>
    <row r="419">
      <c r="C419" s="4" t="n"/>
    </row>
    <row r="420">
      <c r="C420" s="4" t="n"/>
    </row>
    <row r="421">
      <c r="C421" s="4" t="n"/>
    </row>
    <row r="422">
      <c r="C422" s="4" t="n"/>
    </row>
    <row r="423">
      <c r="C423" s="4" t="n"/>
    </row>
    <row r="424">
      <c r="C424" s="4" t="n"/>
    </row>
    <row r="425">
      <c r="C425" s="4" t="n"/>
    </row>
    <row r="426">
      <c r="C426" s="4" t="n"/>
    </row>
    <row r="427">
      <c r="C427" s="4" t="n"/>
    </row>
    <row r="428">
      <c r="C428" s="4" t="n"/>
    </row>
    <row r="429">
      <c r="C429" s="4" t="n"/>
    </row>
    <row r="430">
      <c r="C430" s="4" t="n"/>
    </row>
    <row r="431">
      <c r="C431" s="4" t="n"/>
    </row>
    <row r="432">
      <c r="C432" s="4" t="n"/>
    </row>
    <row r="433">
      <c r="C433" s="4" t="n"/>
    </row>
    <row r="434">
      <c r="C434" s="4" t="n"/>
    </row>
    <row r="435">
      <c r="C435" s="4" t="n"/>
    </row>
    <row r="436">
      <c r="C436" s="4" t="n"/>
    </row>
    <row r="437">
      <c r="C437" s="4" t="n"/>
    </row>
    <row r="438">
      <c r="C438" s="4" t="n"/>
    </row>
    <row r="439">
      <c r="C439" s="4" t="n"/>
    </row>
    <row r="440">
      <c r="C440" s="4" t="n"/>
    </row>
    <row r="441">
      <c r="C441" s="4" t="n"/>
    </row>
    <row r="442">
      <c r="C442" s="4" t="n"/>
    </row>
    <row r="443">
      <c r="C443" s="4" t="n"/>
    </row>
    <row r="444">
      <c r="C444" s="4" t="n"/>
    </row>
    <row r="445">
      <c r="C445" s="4" t="n"/>
    </row>
    <row r="446">
      <c r="C446" s="4" t="n"/>
    </row>
    <row r="447">
      <c r="C447" s="4" t="n"/>
    </row>
    <row r="448">
      <c r="C448" s="4" t="n"/>
    </row>
    <row r="449">
      <c r="C449" s="4" t="n"/>
    </row>
    <row r="450">
      <c r="C450" s="4" t="n"/>
    </row>
    <row r="451">
      <c r="C451" s="4" t="n"/>
    </row>
    <row r="452">
      <c r="C452" s="4" t="n"/>
    </row>
    <row r="453">
      <c r="C453" s="4" t="n"/>
    </row>
    <row r="454">
      <c r="C454" s="4" t="n"/>
    </row>
    <row r="455">
      <c r="C455" s="4" t="n"/>
    </row>
    <row r="456">
      <c r="C456" s="4" t="n"/>
    </row>
    <row r="457">
      <c r="C457" s="4" t="n"/>
    </row>
    <row r="458">
      <c r="C458" s="4" t="n"/>
    </row>
    <row r="459">
      <c r="C459" s="4" t="n"/>
    </row>
    <row r="460">
      <c r="C460" s="4" t="n"/>
    </row>
    <row r="461">
      <c r="C461" s="4" t="n"/>
    </row>
    <row r="462">
      <c r="C462" s="4" t="n"/>
    </row>
    <row r="463">
      <c r="C463" s="4" t="n"/>
    </row>
    <row r="464">
      <c r="C464" s="4" t="n"/>
    </row>
    <row r="465">
      <c r="C465" s="4" t="n"/>
    </row>
    <row r="466">
      <c r="C466" s="4" t="n"/>
    </row>
    <row r="467">
      <c r="C467" s="4" t="n"/>
    </row>
    <row r="468">
      <c r="C468" s="4" t="n"/>
    </row>
    <row r="469">
      <c r="C469" s="4" t="n"/>
    </row>
    <row r="470">
      <c r="C470" s="4" t="n"/>
    </row>
    <row r="471">
      <c r="C471" s="4" t="n"/>
    </row>
    <row r="472">
      <c r="C472" s="4" t="n"/>
    </row>
    <row r="473">
      <c r="C473" s="4" t="n"/>
    </row>
    <row r="474">
      <c r="C474" s="4" t="n"/>
    </row>
    <row r="475">
      <c r="C475" s="4" t="n"/>
    </row>
    <row r="476">
      <c r="C476" s="4" t="n"/>
    </row>
    <row r="477">
      <c r="C477" s="4" t="n"/>
    </row>
    <row r="478">
      <c r="C478" s="4" t="n"/>
    </row>
    <row r="479">
      <c r="C479" s="4" t="n"/>
    </row>
    <row r="480">
      <c r="C480" s="4" t="n"/>
    </row>
    <row r="481">
      <c r="C481" s="4" t="n"/>
    </row>
    <row r="482">
      <c r="C482" s="4" t="n"/>
    </row>
    <row r="483">
      <c r="C483" s="4" t="n"/>
    </row>
    <row r="484">
      <c r="C484" s="4" t="n"/>
    </row>
    <row r="485">
      <c r="C485" s="4" t="n"/>
    </row>
    <row r="486">
      <c r="C486" s="4" t="n"/>
    </row>
    <row r="487">
      <c r="C487" s="4" t="n"/>
    </row>
    <row r="488">
      <c r="C488" s="4" t="n"/>
    </row>
    <row r="489">
      <c r="C489" s="4" t="n"/>
    </row>
    <row r="490">
      <c r="C490" s="4" t="n"/>
    </row>
    <row r="491">
      <c r="C491" s="4" t="n"/>
    </row>
    <row r="492">
      <c r="C492" s="4" t="n"/>
    </row>
    <row r="493">
      <c r="C493" s="4" t="n"/>
    </row>
    <row r="494">
      <c r="C494" s="4" t="n"/>
    </row>
    <row r="495">
      <c r="C495" s="4" t="n"/>
    </row>
    <row r="496">
      <c r="C496" s="4" t="n"/>
    </row>
    <row r="497">
      <c r="C497" s="4" t="n"/>
    </row>
    <row r="498">
      <c r="C498" s="4" t="n"/>
    </row>
    <row r="499">
      <c r="C499" s="4" t="n"/>
    </row>
    <row r="500">
      <c r="C500" s="4" t="n"/>
    </row>
    <row r="501">
      <c r="C501" s="4" t="n"/>
    </row>
    <row r="502">
      <c r="C502" s="4" t="n"/>
    </row>
    <row r="503">
      <c r="C503" s="4" t="n"/>
    </row>
    <row r="504">
      <c r="C504" s="4" t="n"/>
    </row>
    <row r="505">
      <c r="C505" s="4" t="n"/>
    </row>
    <row r="506">
      <c r="C506" s="4" t="n"/>
    </row>
    <row r="507">
      <c r="C507" s="4" t="n"/>
    </row>
    <row r="508">
      <c r="C508" s="4" t="n"/>
    </row>
    <row r="509">
      <c r="C509" s="4" t="n"/>
    </row>
    <row r="510">
      <c r="C510" s="4" t="n"/>
    </row>
    <row r="511">
      <c r="C511" s="4" t="n"/>
    </row>
    <row r="512">
      <c r="C512" s="4" t="n"/>
    </row>
    <row r="513">
      <c r="C513" s="4" t="n"/>
    </row>
    <row r="514">
      <c r="C514" s="4" t="n"/>
    </row>
    <row r="515">
      <c r="C515" s="4" t="n"/>
    </row>
    <row r="516">
      <c r="C516" s="4" t="n"/>
    </row>
    <row r="517">
      <c r="C517" s="4" t="n"/>
    </row>
    <row r="518">
      <c r="C518" s="4" t="n"/>
    </row>
    <row r="519">
      <c r="C519" s="4" t="n"/>
    </row>
    <row r="520">
      <c r="C520" s="4" t="n"/>
    </row>
    <row r="521">
      <c r="C521" s="4" t="n"/>
    </row>
    <row r="522">
      <c r="C522" s="4" t="n"/>
    </row>
    <row r="523">
      <c r="C523" s="4" t="n"/>
    </row>
    <row r="524">
      <c r="C524" s="4" t="n"/>
    </row>
    <row r="525">
      <c r="C525" s="4" t="n"/>
    </row>
    <row r="526">
      <c r="C526" s="4" t="n"/>
    </row>
    <row r="527">
      <c r="C527" s="4" t="n"/>
    </row>
    <row r="528">
      <c r="C528" s="4" t="n"/>
    </row>
    <row r="529">
      <c r="C529" s="4" t="n"/>
    </row>
    <row r="530">
      <c r="C530" s="4" t="n"/>
    </row>
    <row r="531">
      <c r="C531" s="4" t="n"/>
    </row>
    <row r="532">
      <c r="C532" s="4" t="n"/>
    </row>
    <row r="533">
      <c r="C533" s="4" t="n"/>
    </row>
    <row r="534">
      <c r="C534" s="4" t="n"/>
    </row>
    <row r="535">
      <c r="C535" s="4" t="n"/>
    </row>
    <row r="536">
      <c r="C536" s="4" t="n"/>
    </row>
    <row r="537">
      <c r="C537" s="4" t="n"/>
    </row>
    <row r="538">
      <c r="C538" s="4" t="n"/>
    </row>
    <row r="539">
      <c r="C539" s="4" t="n"/>
    </row>
    <row r="540">
      <c r="C540" s="4" t="n"/>
    </row>
    <row r="541">
      <c r="C541" s="4" t="n"/>
    </row>
    <row r="542">
      <c r="C542" s="4" t="n"/>
    </row>
    <row r="543">
      <c r="C543" s="4" t="n"/>
    </row>
    <row r="544">
      <c r="C544" s="4" t="n"/>
    </row>
    <row r="545">
      <c r="C545" s="4" t="n"/>
    </row>
    <row r="546">
      <c r="C546" s="4" t="n"/>
    </row>
    <row r="547">
      <c r="C547" s="4" t="n"/>
    </row>
    <row r="548">
      <c r="C548" s="4" t="n"/>
    </row>
    <row r="549">
      <c r="C549" s="4" t="n"/>
    </row>
    <row r="550">
      <c r="C550" s="4" t="n"/>
    </row>
    <row r="551">
      <c r="C551" s="4" t="n"/>
    </row>
    <row r="552">
      <c r="C552" s="4" t="n"/>
    </row>
    <row r="553">
      <c r="C553" s="4" t="n"/>
    </row>
    <row r="554">
      <c r="C554" s="4" t="n"/>
    </row>
    <row r="555">
      <c r="C555" s="4" t="n"/>
    </row>
    <row r="556">
      <c r="C556" s="4" t="n"/>
    </row>
    <row r="557">
      <c r="C557" s="4" t="n"/>
    </row>
    <row r="558">
      <c r="C558" s="4" t="n"/>
    </row>
    <row r="559">
      <c r="C559" s="4" t="n"/>
    </row>
    <row r="560">
      <c r="C560" s="4" t="n"/>
    </row>
    <row r="561">
      <c r="C561" s="4" t="n"/>
    </row>
    <row r="562">
      <c r="C562" s="4" t="n"/>
    </row>
    <row r="563">
      <c r="C563" s="4" t="n"/>
    </row>
    <row r="564">
      <c r="C564" s="4" t="n"/>
    </row>
    <row r="565">
      <c r="C565" s="4" t="n"/>
    </row>
    <row r="566">
      <c r="C566" s="4" t="n"/>
    </row>
    <row r="567">
      <c r="C567" s="4" t="n"/>
    </row>
    <row r="568">
      <c r="C568" s="4" t="n"/>
    </row>
    <row r="569">
      <c r="C569" s="4" t="n"/>
    </row>
    <row r="570">
      <c r="C570" s="4" t="n"/>
    </row>
    <row r="571">
      <c r="C571" s="4" t="n"/>
    </row>
    <row r="572">
      <c r="C572" s="4" t="n"/>
    </row>
    <row r="573">
      <c r="C573" s="4" t="n"/>
    </row>
    <row r="574">
      <c r="C574" s="4" t="n"/>
    </row>
    <row r="575">
      <c r="C575" s="4" t="n"/>
    </row>
    <row r="576">
      <c r="C576" s="4" t="n"/>
    </row>
    <row r="577">
      <c r="C577" s="4" t="n"/>
    </row>
    <row r="578">
      <c r="C578" s="4" t="n"/>
    </row>
    <row r="579">
      <c r="C579" s="4" t="n"/>
    </row>
    <row r="580">
      <c r="C580" s="4" t="n"/>
    </row>
    <row r="581">
      <c r="C581" s="4" t="n"/>
    </row>
    <row r="582">
      <c r="C582" s="4" t="n"/>
    </row>
    <row r="583">
      <c r="C583" s="4" t="n"/>
    </row>
    <row r="584">
      <c r="C584" s="4" t="n"/>
    </row>
    <row r="585">
      <c r="C585" s="4" t="n"/>
    </row>
    <row r="586">
      <c r="C586" s="4" t="n"/>
    </row>
    <row r="587">
      <c r="C587" s="4" t="n"/>
    </row>
    <row r="588">
      <c r="C588" s="4" t="n"/>
    </row>
    <row r="589">
      <c r="C589" s="4" t="n"/>
    </row>
    <row r="590">
      <c r="C590" s="4" t="n"/>
    </row>
    <row r="591">
      <c r="C591" s="4" t="n"/>
    </row>
    <row r="592">
      <c r="C592" s="4" t="n"/>
    </row>
    <row r="593">
      <c r="C593" s="4" t="n"/>
    </row>
    <row r="594">
      <c r="C594" s="4" t="n"/>
    </row>
    <row r="595">
      <c r="C595" s="4" t="n"/>
    </row>
    <row r="596">
      <c r="C596" s="4" t="n"/>
    </row>
    <row r="597">
      <c r="C597" s="4" t="n"/>
    </row>
    <row r="598">
      <c r="C598" s="4" t="n"/>
    </row>
    <row r="599">
      <c r="C599" s="4" t="n"/>
    </row>
    <row r="600">
      <c r="C600" s="4" t="n"/>
    </row>
    <row r="601">
      <c r="C601" s="4" t="n"/>
    </row>
    <row r="602">
      <c r="C602" s="4" t="n"/>
    </row>
    <row r="603">
      <c r="C603" s="4" t="n"/>
    </row>
    <row r="604">
      <c r="C604" s="4" t="n"/>
    </row>
    <row r="605">
      <c r="C605" s="4" t="n"/>
    </row>
    <row r="606">
      <c r="C606" s="4" t="n"/>
    </row>
    <row r="607">
      <c r="C607" s="4" t="n"/>
    </row>
    <row r="608">
      <c r="C608" s="4" t="n"/>
    </row>
    <row r="609">
      <c r="C609" s="4" t="n"/>
    </row>
    <row r="610">
      <c r="C610" s="4" t="n"/>
    </row>
    <row r="611">
      <c r="C611" s="4" t="n"/>
    </row>
    <row r="612">
      <c r="C612" s="4" t="n"/>
    </row>
    <row r="613">
      <c r="C613" s="4" t="n"/>
    </row>
    <row r="614">
      <c r="C614" s="4" t="n"/>
    </row>
    <row r="615">
      <c r="C615" s="4" t="n"/>
    </row>
    <row r="616">
      <c r="C616" s="4" t="n"/>
    </row>
    <row r="617">
      <c r="C617" s="4" t="n"/>
    </row>
    <row r="618">
      <c r="C618" s="4" t="n"/>
    </row>
    <row r="619">
      <c r="C619" s="4" t="n"/>
    </row>
    <row r="620">
      <c r="C620" s="4" t="n"/>
    </row>
    <row r="621">
      <c r="C621" s="4" t="n"/>
    </row>
    <row r="622">
      <c r="C622" s="4" t="n"/>
    </row>
    <row r="623">
      <c r="C623" s="4" t="n"/>
    </row>
    <row r="624">
      <c r="C624" s="4" t="n"/>
    </row>
    <row r="625">
      <c r="C625" s="4" t="n"/>
    </row>
    <row r="626">
      <c r="C626" s="4" t="n"/>
    </row>
    <row r="627">
      <c r="C627" s="4" t="n"/>
    </row>
    <row r="628">
      <c r="C628" s="4" t="n"/>
    </row>
    <row r="629">
      <c r="C629" s="4" t="n"/>
    </row>
    <row r="630">
      <c r="C630" s="4" t="n"/>
    </row>
    <row r="631">
      <c r="C631" s="4" t="n"/>
    </row>
    <row r="632">
      <c r="C632" s="4" t="n"/>
    </row>
    <row r="633">
      <c r="C633" s="4" t="n"/>
    </row>
    <row r="634">
      <c r="C634" s="4" t="n"/>
    </row>
    <row r="635">
      <c r="C635" s="4" t="n"/>
    </row>
    <row r="636">
      <c r="C636" s="4" t="n"/>
    </row>
    <row r="637">
      <c r="C637" s="4" t="n"/>
    </row>
    <row r="638">
      <c r="C638" s="4" t="n"/>
    </row>
    <row r="639">
      <c r="C639" s="4" t="n"/>
    </row>
    <row r="640">
      <c r="C640" s="4" t="n"/>
    </row>
    <row r="641">
      <c r="C641" s="4" t="n"/>
    </row>
    <row r="642">
      <c r="C642" s="4" t="n"/>
    </row>
    <row r="643">
      <c r="C643" s="4" t="n"/>
    </row>
    <row r="644">
      <c r="C644" s="4" t="n"/>
    </row>
    <row r="645">
      <c r="C645" s="4" t="n"/>
    </row>
    <row r="646">
      <c r="C646" s="4" t="n"/>
    </row>
    <row r="647">
      <c r="C647" s="4" t="n"/>
    </row>
    <row r="648">
      <c r="C648" s="4" t="n"/>
    </row>
    <row r="649">
      <c r="C649" s="4" t="n"/>
    </row>
    <row r="650">
      <c r="C650" s="4" t="n"/>
    </row>
    <row r="651">
      <c r="C651" s="4" t="n"/>
    </row>
    <row r="652">
      <c r="C652" s="4" t="n"/>
    </row>
    <row r="653">
      <c r="C653" s="4" t="n"/>
    </row>
    <row r="654">
      <c r="C654" s="4" t="n"/>
    </row>
    <row r="655">
      <c r="C655" s="4" t="n"/>
    </row>
    <row r="656">
      <c r="C656" s="4" t="n"/>
    </row>
    <row r="657">
      <c r="C657" s="4" t="n"/>
    </row>
    <row r="658">
      <c r="C658" s="4" t="n"/>
    </row>
    <row r="659">
      <c r="C659" s="4" t="n"/>
    </row>
    <row r="660">
      <c r="C660" s="4" t="n"/>
    </row>
    <row r="661">
      <c r="C661" s="4" t="n"/>
    </row>
    <row r="662">
      <c r="C662" s="4" t="n"/>
    </row>
    <row r="663">
      <c r="C663" s="4" t="n"/>
    </row>
    <row r="664">
      <c r="C664" s="4" t="n"/>
    </row>
    <row r="665">
      <c r="C665" s="4" t="n"/>
    </row>
    <row r="666">
      <c r="C666" s="4" t="n"/>
    </row>
    <row r="667">
      <c r="C667" s="4" t="n"/>
    </row>
    <row r="668">
      <c r="C668" s="4" t="n"/>
    </row>
    <row r="669">
      <c r="C669" s="4" t="n"/>
    </row>
    <row r="670">
      <c r="C670" s="4" t="n"/>
    </row>
    <row r="671">
      <c r="C671" s="4" t="n"/>
    </row>
    <row r="672">
      <c r="C672" s="4" t="n"/>
    </row>
    <row r="673">
      <c r="C673" s="4" t="n"/>
    </row>
    <row r="674">
      <c r="C674" s="4" t="n"/>
    </row>
    <row r="675">
      <c r="C675" s="4" t="n"/>
    </row>
    <row r="676">
      <c r="C676" s="4" t="n"/>
    </row>
    <row r="677">
      <c r="C677" s="4" t="n"/>
    </row>
    <row r="678">
      <c r="C678" s="4" t="n"/>
    </row>
    <row r="679">
      <c r="C679" s="4" t="n"/>
    </row>
    <row r="680">
      <c r="C680" s="4" t="n"/>
    </row>
    <row r="681">
      <c r="C681" s="4" t="n"/>
    </row>
    <row r="682">
      <c r="C682" s="4" t="n"/>
    </row>
    <row r="683">
      <c r="C683" s="4" t="n"/>
    </row>
    <row r="684">
      <c r="C684" s="4" t="n"/>
    </row>
    <row r="685">
      <c r="C685" s="4" t="n"/>
    </row>
    <row r="686">
      <c r="C686" s="4" t="n"/>
    </row>
    <row r="687">
      <c r="C687" s="4" t="n"/>
    </row>
    <row r="688">
      <c r="C688" s="4" t="n"/>
    </row>
    <row r="689">
      <c r="C689" s="4" t="n"/>
    </row>
    <row r="690">
      <c r="C690" s="4" t="n"/>
    </row>
    <row r="691">
      <c r="C691" s="4" t="n"/>
    </row>
    <row r="692">
      <c r="C692" s="4" t="n"/>
    </row>
    <row r="693">
      <c r="C693" s="4" t="n"/>
    </row>
    <row r="694">
      <c r="C694" s="4" t="n"/>
    </row>
    <row r="695">
      <c r="C695" s="4" t="n"/>
    </row>
    <row r="696">
      <c r="C696" s="4" t="n"/>
    </row>
    <row r="697">
      <c r="C697" s="4" t="n"/>
    </row>
    <row r="698">
      <c r="C698" s="4" t="n"/>
    </row>
    <row r="699">
      <c r="C699" s="4" t="n"/>
    </row>
    <row r="700">
      <c r="C700" s="4" t="n"/>
    </row>
    <row r="701">
      <c r="C701" s="4" t="n"/>
    </row>
    <row r="702">
      <c r="C702" s="4" t="n"/>
    </row>
    <row r="703">
      <c r="C703" s="4" t="n"/>
    </row>
    <row r="704">
      <c r="C704" s="4" t="n"/>
    </row>
    <row r="705">
      <c r="C705" s="4" t="n"/>
    </row>
    <row r="706">
      <c r="C706" s="4" t="n"/>
    </row>
    <row r="707">
      <c r="C707" s="4" t="n"/>
    </row>
    <row r="708">
      <c r="C708" s="4" t="n"/>
    </row>
    <row r="709">
      <c r="C709" s="4" t="n"/>
    </row>
    <row r="710">
      <c r="C710" s="4" t="n"/>
    </row>
    <row r="711">
      <c r="C711" s="4" t="n"/>
    </row>
    <row r="712">
      <c r="C712" s="4" t="n"/>
    </row>
    <row r="713">
      <c r="C713" s="4" t="n"/>
    </row>
    <row r="714">
      <c r="C714" s="4" t="n"/>
    </row>
    <row r="715">
      <c r="C715" s="4" t="n"/>
    </row>
    <row r="716">
      <c r="C716" s="4" t="n"/>
    </row>
    <row r="717">
      <c r="C717" s="4" t="n"/>
    </row>
    <row r="718">
      <c r="C718" s="4" t="n"/>
    </row>
    <row r="719">
      <c r="C719" s="4" t="n"/>
    </row>
    <row r="720">
      <c r="C720" s="4" t="n"/>
    </row>
    <row r="721">
      <c r="C721" s="4" t="n"/>
    </row>
    <row r="722">
      <c r="C722" s="4" t="n"/>
    </row>
    <row r="723">
      <c r="C723" s="4" t="n"/>
    </row>
    <row r="724">
      <c r="C724" s="4" t="n"/>
    </row>
    <row r="725">
      <c r="C725" s="4" t="n"/>
    </row>
    <row r="726">
      <c r="C726" s="4" t="n"/>
    </row>
    <row r="727">
      <c r="C727" s="4" t="n"/>
    </row>
    <row r="728">
      <c r="C728" s="4" t="n"/>
    </row>
    <row r="729">
      <c r="C729" s="4" t="n"/>
    </row>
    <row r="730">
      <c r="C730" s="4" t="n"/>
    </row>
    <row r="731">
      <c r="C731" s="4" t="n"/>
    </row>
    <row r="732">
      <c r="C732" s="4" t="n"/>
    </row>
    <row r="733">
      <c r="C733" s="4" t="n"/>
    </row>
    <row r="734">
      <c r="C734" s="4" t="n"/>
    </row>
    <row r="735">
      <c r="C735" s="4" t="n"/>
    </row>
    <row r="736">
      <c r="C736" s="4" t="n"/>
    </row>
    <row r="737">
      <c r="C737" s="4" t="n"/>
    </row>
    <row r="738">
      <c r="C738" s="4" t="n"/>
    </row>
    <row r="739">
      <c r="C739" s="4" t="n"/>
    </row>
    <row r="740">
      <c r="C740" s="4" t="n"/>
    </row>
    <row r="741">
      <c r="C741" s="4" t="n"/>
    </row>
    <row r="742">
      <c r="C742" s="4" t="n"/>
    </row>
    <row r="743">
      <c r="C743" s="4" t="n"/>
    </row>
    <row r="744">
      <c r="C744" s="4" t="n"/>
    </row>
    <row r="745">
      <c r="C745" s="4" t="n"/>
    </row>
    <row r="746">
      <c r="C746" s="4" t="n"/>
    </row>
    <row r="747">
      <c r="C747" s="4" t="n"/>
    </row>
    <row r="748">
      <c r="C748" s="4" t="n"/>
    </row>
    <row r="749">
      <c r="C749" s="4" t="n"/>
    </row>
    <row r="750">
      <c r="C750" s="4" t="n"/>
    </row>
    <row r="751">
      <c r="C751" s="4" t="n"/>
    </row>
    <row r="752">
      <c r="C752" s="4" t="n"/>
    </row>
    <row r="753">
      <c r="C753" s="4" t="n"/>
    </row>
    <row r="754">
      <c r="C754" s="4" t="n"/>
    </row>
    <row r="755">
      <c r="C755" s="4" t="n"/>
    </row>
    <row r="756">
      <c r="C756" s="4" t="n"/>
    </row>
    <row r="757">
      <c r="C757" s="4" t="n"/>
    </row>
    <row r="758">
      <c r="C758" s="4" t="n"/>
    </row>
    <row r="759">
      <c r="C759" s="4" t="n"/>
    </row>
    <row r="760">
      <c r="C760" s="4" t="n"/>
    </row>
    <row r="761">
      <c r="C761" s="4" t="n"/>
    </row>
    <row r="762">
      <c r="C762" s="4" t="n"/>
    </row>
    <row r="763">
      <c r="C763" s="4" t="n"/>
    </row>
    <row r="764">
      <c r="C764" s="4" t="n"/>
    </row>
    <row r="765">
      <c r="C765" s="4" t="n"/>
    </row>
    <row r="766">
      <c r="C766" s="4" t="n"/>
    </row>
    <row r="767">
      <c r="C767" s="4" t="n"/>
    </row>
    <row r="768">
      <c r="C768" s="4" t="n"/>
    </row>
    <row r="769">
      <c r="C769" s="4" t="n"/>
    </row>
    <row r="770">
      <c r="C770" s="4" t="n"/>
    </row>
    <row r="771">
      <c r="C771" s="4" t="n"/>
    </row>
    <row r="772">
      <c r="C772" s="4" t="n"/>
    </row>
    <row r="773">
      <c r="C773" s="4" t="n"/>
    </row>
    <row r="774">
      <c r="C774" s="4" t="n"/>
    </row>
    <row r="775">
      <c r="C775" s="4" t="n"/>
    </row>
    <row r="776">
      <c r="C776" s="4" t="n"/>
    </row>
    <row r="777">
      <c r="C777" s="4" t="n"/>
    </row>
    <row r="778">
      <c r="C778" s="4" t="n"/>
    </row>
    <row r="779">
      <c r="C779" s="4" t="n"/>
    </row>
    <row r="780">
      <c r="C780" s="4" t="n"/>
    </row>
    <row r="781">
      <c r="C781" s="4" t="n"/>
    </row>
    <row r="782">
      <c r="C782" s="4" t="n"/>
    </row>
    <row r="783">
      <c r="C783" s="4" t="n"/>
    </row>
    <row r="784">
      <c r="C784" s="4" t="n"/>
    </row>
    <row r="785">
      <c r="C785" s="4" t="n"/>
    </row>
    <row r="786">
      <c r="C786" s="4" t="n"/>
    </row>
    <row r="787">
      <c r="C787" s="4" t="n"/>
    </row>
    <row r="788">
      <c r="C788" s="4" t="n"/>
    </row>
    <row r="789">
      <c r="C789" s="4" t="n"/>
    </row>
    <row r="790">
      <c r="C790" s="4" t="n"/>
    </row>
    <row r="791">
      <c r="C791" s="4" t="n"/>
    </row>
    <row r="792">
      <c r="C792" s="4" t="n"/>
    </row>
    <row r="793">
      <c r="C793" s="4" t="n"/>
    </row>
    <row r="794">
      <c r="C794" s="4" t="n"/>
    </row>
    <row r="795">
      <c r="C795" s="4" t="n"/>
    </row>
    <row r="796">
      <c r="C796" s="4" t="n"/>
    </row>
    <row r="797">
      <c r="C797" s="4" t="n"/>
    </row>
    <row r="798">
      <c r="C798" s="4" t="n"/>
    </row>
    <row r="799">
      <c r="C799" s="4" t="n"/>
    </row>
    <row r="800">
      <c r="C800" s="4" t="n"/>
    </row>
    <row r="801">
      <c r="C801" s="4" t="n"/>
    </row>
    <row r="802">
      <c r="C802" s="4" t="n"/>
    </row>
    <row r="803">
      <c r="C803" s="4" t="n"/>
    </row>
    <row r="804">
      <c r="C804" s="4" t="n"/>
    </row>
    <row r="805">
      <c r="C805" s="4" t="n"/>
    </row>
    <row r="806">
      <c r="C806" s="4" t="n"/>
    </row>
    <row r="807">
      <c r="C807" s="4" t="n"/>
    </row>
    <row r="808">
      <c r="C808" s="4" t="n"/>
    </row>
    <row r="809">
      <c r="C809" s="4" t="n"/>
    </row>
    <row r="810">
      <c r="C810" s="4" t="n"/>
    </row>
    <row r="811">
      <c r="C811" s="4" t="n"/>
    </row>
    <row r="812">
      <c r="C812" s="4" t="n"/>
    </row>
    <row r="813">
      <c r="C813" s="4" t="n"/>
    </row>
    <row r="814">
      <c r="C814" s="4" t="n"/>
    </row>
    <row r="815">
      <c r="C815" s="4" t="n"/>
    </row>
    <row r="816">
      <c r="C816" s="4" t="n"/>
    </row>
    <row r="817">
      <c r="C817" s="4" t="n"/>
    </row>
    <row r="818">
      <c r="C818" s="4" t="n"/>
    </row>
    <row r="819">
      <c r="C819" s="4" t="n"/>
    </row>
    <row r="820">
      <c r="C820" s="4" t="n"/>
    </row>
    <row r="821">
      <c r="C821" s="4" t="n"/>
    </row>
    <row r="822">
      <c r="C822" s="4" t="n"/>
    </row>
    <row r="823">
      <c r="C823" s="4" t="n"/>
    </row>
    <row r="824">
      <c r="C824" s="4" t="n"/>
    </row>
    <row r="825">
      <c r="C825" s="4" t="n"/>
    </row>
    <row r="826">
      <c r="C826" s="4" t="n"/>
    </row>
    <row r="827">
      <c r="C827" s="4" t="n"/>
    </row>
    <row r="828">
      <c r="C828" s="4" t="n"/>
    </row>
    <row r="829">
      <c r="C829" s="4" t="n"/>
    </row>
    <row r="830">
      <c r="C830" s="4" t="n"/>
    </row>
    <row r="831">
      <c r="C831" s="4" t="n"/>
    </row>
    <row r="832">
      <c r="C832" s="4" t="n"/>
    </row>
    <row r="833">
      <c r="C833" s="4" t="n"/>
    </row>
    <row r="834">
      <c r="C834" s="4" t="n"/>
    </row>
    <row r="835">
      <c r="C835" s="4" t="n"/>
    </row>
    <row r="836">
      <c r="C836" s="4" t="n"/>
    </row>
    <row r="837">
      <c r="C837" s="4" t="n"/>
    </row>
    <row r="838">
      <c r="C838" s="4" t="n"/>
    </row>
    <row r="839">
      <c r="C839" s="4" t="n"/>
    </row>
    <row r="840">
      <c r="C840" s="4" t="n"/>
    </row>
    <row r="841">
      <c r="C841" s="4" t="n"/>
    </row>
    <row r="842">
      <c r="C842" s="4" t="n"/>
    </row>
    <row r="843">
      <c r="C843" s="4" t="n"/>
    </row>
    <row r="844">
      <c r="C844" s="4" t="n"/>
    </row>
    <row r="845">
      <c r="C845" s="4" t="n"/>
    </row>
    <row r="846">
      <c r="C846" s="4" t="n"/>
    </row>
    <row r="847">
      <c r="C847" s="4" t="n"/>
    </row>
    <row r="848">
      <c r="C848" s="4" t="n"/>
    </row>
    <row r="849">
      <c r="C849" s="4" t="n"/>
    </row>
    <row r="850">
      <c r="C850" s="4" t="n"/>
    </row>
    <row r="851">
      <c r="C851" s="4" t="n"/>
    </row>
    <row r="852">
      <c r="C852" s="4" t="n"/>
    </row>
    <row r="853">
      <c r="C853" s="4" t="n"/>
    </row>
    <row r="854">
      <c r="C854" s="4" t="n"/>
    </row>
    <row r="855">
      <c r="C855" s="4" t="n"/>
    </row>
    <row r="856">
      <c r="C856" s="4" t="n"/>
    </row>
    <row r="857">
      <c r="C857" s="4" t="n"/>
    </row>
    <row r="858">
      <c r="C858" s="4" t="n"/>
    </row>
    <row r="859">
      <c r="C859" s="4" t="n"/>
    </row>
    <row r="860">
      <c r="C860" s="4" t="n"/>
    </row>
    <row r="861">
      <c r="C861" s="4" t="n"/>
    </row>
    <row r="862">
      <c r="C862" s="4" t="n"/>
    </row>
    <row r="863">
      <c r="C863" s="4" t="n"/>
    </row>
    <row r="864">
      <c r="C864" s="4" t="n"/>
    </row>
    <row r="865">
      <c r="C865" s="4" t="n"/>
    </row>
    <row r="866">
      <c r="C866" s="4" t="n"/>
    </row>
    <row r="867">
      <c r="C867" s="4" t="n"/>
    </row>
    <row r="868">
      <c r="C868" s="4" t="n"/>
    </row>
    <row r="869">
      <c r="C869" s="4" t="n"/>
    </row>
    <row r="870">
      <c r="C870" s="4" t="n"/>
    </row>
    <row r="871">
      <c r="C871" s="4" t="n"/>
    </row>
    <row r="872">
      <c r="C872" s="4" t="n"/>
    </row>
    <row r="873">
      <c r="C873" s="4" t="n"/>
    </row>
    <row r="874">
      <c r="C874" s="4" t="n"/>
    </row>
    <row r="875">
      <c r="C875" s="4" t="n"/>
    </row>
    <row r="876">
      <c r="C876" s="4" t="n"/>
    </row>
    <row r="877">
      <c r="C877" s="4" t="n"/>
    </row>
    <row r="878">
      <c r="C878" s="4" t="n"/>
    </row>
    <row r="879">
      <c r="C879" s="4" t="n"/>
    </row>
    <row r="880">
      <c r="C880" s="4" t="n"/>
    </row>
    <row r="881">
      <c r="C881" s="4" t="n"/>
    </row>
    <row r="882">
      <c r="C882" s="4" t="n"/>
    </row>
    <row r="883">
      <c r="C883" s="4" t="n"/>
    </row>
    <row r="884">
      <c r="C884" s="4" t="n"/>
    </row>
    <row r="885">
      <c r="C885" s="4" t="n"/>
    </row>
    <row r="886">
      <c r="C886" s="4" t="n"/>
    </row>
    <row r="887">
      <c r="C887" s="4" t="n"/>
    </row>
    <row r="888">
      <c r="C888" s="4" t="n"/>
    </row>
    <row r="889">
      <c r="C889" s="4" t="n"/>
    </row>
    <row r="890">
      <c r="C890" s="4" t="n"/>
    </row>
    <row r="891">
      <c r="C891" s="4" t="n"/>
    </row>
    <row r="892">
      <c r="C892" s="4" t="n"/>
    </row>
    <row r="893">
      <c r="C893" s="4" t="n"/>
    </row>
    <row r="894">
      <c r="C894" s="4" t="n"/>
    </row>
    <row r="895">
      <c r="C895" s="4" t="n"/>
    </row>
    <row r="896">
      <c r="C896" s="4" t="n"/>
    </row>
    <row r="897">
      <c r="C897" s="4" t="n"/>
    </row>
    <row r="898">
      <c r="C898" s="4" t="n"/>
    </row>
    <row r="899">
      <c r="C899" s="4" t="n"/>
    </row>
    <row r="900">
      <c r="C900" s="4" t="n"/>
    </row>
    <row r="901">
      <c r="C901" s="4" t="n"/>
    </row>
    <row r="902">
      <c r="C902" s="4" t="n"/>
    </row>
    <row r="903">
      <c r="C903" s="4" t="n"/>
    </row>
    <row r="904">
      <c r="C904" s="4" t="n"/>
    </row>
    <row r="905">
      <c r="C905" s="4" t="n"/>
    </row>
    <row r="906">
      <c r="C906" s="4" t="n"/>
    </row>
    <row r="907">
      <c r="C907" s="4" t="n"/>
    </row>
    <row r="908">
      <c r="C908" s="4" t="n"/>
    </row>
    <row r="909">
      <c r="C909" s="4" t="n"/>
    </row>
    <row r="910">
      <c r="C910" s="4" t="n"/>
    </row>
    <row r="911">
      <c r="C911" s="4" t="n"/>
    </row>
    <row r="912">
      <c r="C912" s="4" t="n"/>
    </row>
    <row r="913">
      <c r="C913" s="4" t="n"/>
    </row>
    <row r="914">
      <c r="C914" s="4" t="n"/>
    </row>
    <row r="915">
      <c r="C915" s="4" t="n"/>
    </row>
    <row r="916">
      <c r="C916" s="4" t="n"/>
    </row>
    <row r="917">
      <c r="C917" s="4" t="n"/>
    </row>
    <row r="918">
      <c r="C918" s="4" t="n"/>
    </row>
    <row r="919">
      <c r="C919" s="4" t="n"/>
    </row>
    <row r="920">
      <c r="C920" s="4" t="n"/>
    </row>
    <row r="921">
      <c r="C921" s="4" t="n"/>
    </row>
    <row r="922">
      <c r="C922" s="4" t="n"/>
    </row>
    <row r="923">
      <c r="C923" s="4" t="n"/>
    </row>
    <row r="924">
      <c r="C924" s="4" t="n"/>
    </row>
    <row r="925">
      <c r="C925" s="4" t="n"/>
    </row>
    <row r="926">
      <c r="C926" s="4" t="n"/>
    </row>
    <row r="927">
      <c r="C927" s="4" t="n"/>
    </row>
    <row r="928">
      <c r="C928" s="4" t="n"/>
    </row>
    <row r="929">
      <c r="C929" s="4" t="n"/>
    </row>
    <row r="930">
      <c r="C930" s="4" t="n"/>
    </row>
    <row r="931">
      <c r="C931" s="4" t="n"/>
    </row>
    <row r="932">
      <c r="C932" s="4" t="n"/>
    </row>
    <row r="933">
      <c r="C933" s="4" t="n"/>
    </row>
    <row r="934">
      <c r="C934" s="4" t="n"/>
    </row>
    <row r="935">
      <c r="C935" s="4" t="n"/>
    </row>
    <row r="936">
      <c r="C936" s="4" t="n"/>
    </row>
    <row r="937">
      <c r="C937" s="4" t="n"/>
    </row>
    <row r="938">
      <c r="C938" s="4" t="n"/>
    </row>
    <row r="939">
      <c r="C939" s="4" t="n"/>
    </row>
    <row r="940">
      <c r="C940" s="4" t="n"/>
    </row>
    <row r="941">
      <c r="C941" s="4" t="n"/>
    </row>
    <row r="942">
      <c r="C942" s="4" t="n"/>
    </row>
    <row r="943">
      <c r="C943" s="4" t="n"/>
    </row>
    <row r="944">
      <c r="C944" s="4" t="n"/>
    </row>
    <row r="945">
      <c r="C945" s="4" t="n"/>
    </row>
    <row r="946">
      <c r="C946" s="4" t="n"/>
    </row>
    <row r="947">
      <c r="C947" s="4" t="n"/>
    </row>
    <row r="948">
      <c r="C948" s="4" t="n"/>
    </row>
    <row r="949">
      <c r="C949" s="4" t="n"/>
    </row>
    <row r="950">
      <c r="C950" s="4" t="n"/>
    </row>
    <row r="951">
      <c r="C951" s="4" t="n"/>
    </row>
    <row r="952">
      <c r="C952" s="4" t="n"/>
    </row>
    <row r="953">
      <c r="C953" s="4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</row>
    <row r="962">
      <c r="C962" s="4" t="n"/>
    </row>
    <row r="963">
      <c r="C963" s="4" t="n"/>
    </row>
    <row r="964">
      <c r="C964" s="4" t="n"/>
    </row>
    <row r="965">
      <c r="C965" s="4" t="n"/>
    </row>
    <row r="966">
      <c r="C966" s="4" t="n"/>
    </row>
    <row r="967">
      <c r="C967" s="4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</row>
    <row r="973">
      <c r="C973" s="4" t="n"/>
    </row>
    <row r="974">
      <c r="C974" s="4" t="n"/>
    </row>
    <row r="975">
      <c r="C975" s="4" t="n"/>
    </row>
    <row r="976">
      <c r="C976" s="4" t="n"/>
    </row>
    <row r="977">
      <c r="C977" s="4" t="n"/>
    </row>
    <row r="978">
      <c r="C978" s="4" t="n"/>
    </row>
    <row r="979">
      <c r="C979" s="4" t="n"/>
    </row>
    <row r="980">
      <c r="C980" s="4" t="n"/>
    </row>
    <row r="981">
      <c r="C981" s="4" t="n"/>
    </row>
    <row r="982">
      <c r="C982" s="4" t="n"/>
    </row>
    <row r="983">
      <c r="C983" s="4" t="n"/>
    </row>
    <row r="984">
      <c r="C984" s="4" t="n"/>
    </row>
    <row r="985">
      <c r="C985" s="4" t="n"/>
    </row>
    <row r="986">
      <c r="C986" s="4" t="n"/>
    </row>
    <row r="987">
      <c r="C987" s="4" t="n"/>
    </row>
    <row r="988">
      <c r="C988" s="4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</row>
    <row r="994">
      <c r="C994" s="4" t="n"/>
    </row>
    <row r="995">
      <c r="C995" s="4" t="n"/>
    </row>
    <row r="996">
      <c r="C996" s="4" t="n"/>
    </row>
    <row r="997">
      <c r="C997" s="4" t="n"/>
    </row>
    <row r="998">
      <c r="C998" s="4" t="n"/>
    </row>
    <row r="999">
      <c r="C999" s="4" t="n"/>
    </row>
    <row r="1000">
      <c r="C1000" s="4" t="n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customHeight="1" defaultColWidth="12.63" defaultRowHeight="15.75"/>
  <cols>
    <col customWidth="1" max="2" min="2" style="6" width="23.5"/>
  </cols>
  <sheetData>
    <row r="1">
      <c r="A1" s="1" t="inlineStr">
        <is>
          <t>매물</t>
        </is>
      </c>
      <c r="B1" s="1" t="inlineStr">
        <is>
          <t>분담금</t>
        </is>
      </c>
      <c r="C1" s="1" t="inlineStr">
        <is>
          <t>전용면적</t>
        </is>
      </c>
      <c r="D1" s="1" t="inlineStr">
        <is>
          <t>공급면적</t>
        </is>
      </c>
      <c r="E1" s="1" t="inlineStr">
        <is>
          <t>구조</t>
        </is>
      </c>
      <c r="F1" s="5" t="inlineStr">
        <is>
          <t>가능동</t>
        </is>
      </c>
    </row>
    <row r="2">
      <c r="A2" s="1" t="inlineStr">
        <is>
          <t>D3</t>
        </is>
      </c>
      <c r="B2" s="4" t="n">
        <v>383011291</v>
      </c>
      <c r="C2" s="1" t="n">
        <v>72.11</v>
      </c>
      <c r="D2" s="1" t="n">
        <v>102.63</v>
      </c>
      <c r="E2" s="1" t="inlineStr">
        <is>
          <t>방3/화2/복층형</t>
        </is>
      </c>
      <c r="F2" s="5" t="inlineStr">
        <is>
          <t>510동 2호,7호,8호</t>
        </is>
      </c>
    </row>
    <row r="3">
      <c r="A3" s="1" t="inlineStr">
        <is>
          <t>D5</t>
        </is>
      </c>
      <c r="B3" s="4" t="n">
        <v>340548910</v>
      </c>
      <c r="C3" s="1" t="n">
        <v>65.86</v>
      </c>
      <c r="D3" s="1" t="n">
        <v>93.59999999999999</v>
      </c>
      <c r="E3" s="1" t="inlineStr">
        <is>
          <t>방3/화2</t>
        </is>
      </c>
      <c r="F3" s="1" t="inlineStr">
        <is>
          <t>510동 1호</t>
        </is>
      </c>
    </row>
    <row r="4">
      <c r="A4" s="1" t="inlineStr">
        <is>
          <t>D6</t>
        </is>
      </c>
      <c r="B4" s="4" t="n">
        <v>190181700</v>
      </c>
      <c r="C4" s="1" t="n">
        <v>56.17</v>
      </c>
      <c r="D4" s="1" t="n">
        <v>79.83</v>
      </c>
      <c r="E4" s="1" t="inlineStr">
        <is>
          <t>방3/화1</t>
        </is>
      </c>
      <c r="F4" s="1" t="inlineStr">
        <is>
          <t>509동 2호</t>
        </is>
      </c>
    </row>
    <row r="5">
      <c r="A5" s="1" t="inlineStr">
        <is>
          <t>D7</t>
        </is>
      </c>
      <c r="B5" s="4" t="n">
        <v>349911700</v>
      </c>
      <c r="C5" s="1" t="n">
        <v>65.72</v>
      </c>
      <c r="D5" s="1" t="n">
        <v>93.40000000000001</v>
      </c>
      <c r="E5" s="1" t="inlineStr">
        <is>
          <t>방3/화2</t>
        </is>
      </c>
      <c r="F5" s="1" t="inlineStr">
        <is>
          <t>504동 1호/509동 1호</t>
        </is>
      </c>
    </row>
    <row r="6">
      <c r="A6" s="1" t="inlineStr">
        <is>
          <t>AB1</t>
        </is>
      </c>
      <c r="B6" s="4" t="n">
        <v>426513407</v>
      </c>
      <c r="C6" s="1" t="n">
        <v>58.49</v>
      </c>
      <c r="D6" s="1" t="n">
        <v>83.13</v>
      </c>
      <c r="E6" s="1" t="inlineStr">
        <is>
          <t>방3/화2</t>
        </is>
      </c>
      <c r="F6" s="1" t="inlineStr">
        <is>
          <t>515동 1호(신축)</t>
        </is>
      </c>
    </row>
    <row r="7">
      <c r="A7" s="1" t="inlineStr">
        <is>
          <t>AB2</t>
        </is>
      </c>
      <c r="B7" s="4" t="n">
        <v>456627043</v>
      </c>
      <c r="C7" s="1" t="n">
        <v>58.48</v>
      </c>
      <c r="D7" s="1" t="n">
        <v>83.11</v>
      </c>
      <c r="E7" s="1" t="inlineStr">
        <is>
          <t>방3/화2</t>
        </is>
      </c>
      <c r="F7" s="1" t="inlineStr">
        <is>
          <t>515동 2호(신축)</t>
        </is>
      </c>
    </row>
    <row r="8">
      <c r="A8" s="1" t="inlineStr">
        <is>
          <t>C3</t>
        </is>
      </c>
      <c r="B8" s="4" t="n">
        <v>376929211</v>
      </c>
      <c r="C8" s="1" t="n">
        <v>59.45</v>
      </c>
      <c r="D8" s="1" t="n">
        <v>84.48999999999999</v>
      </c>
      <c r="E8" s="1" t="inlineStr">
        <is>
          <t>방3/화2</t>
        </is>
      </c>
      <c r="F8" s="1" t="inlineStr">
        <is>
          <t>503동 3호/512동 3호</t>
        </is>
      </c>
    </row>
    <row r="9">
      <c r="A9" s="1" t="inlineStr">
        <is>
          <t>C4</t>
        </is>
      </c>
      <c r="B9" s="4" t="n">
        <v>430120452</v>
      </c>
      <c r="C9" s="1" t="n">
        <v>59.72</v>
      </c>
      <c r="D9" s="1" t="n">
        <v>84.87</v>
      </c>
      <c r="E9" s="1" t="inlineStr">
        <is>
          <t>방3/화2</t>
        </is>
      </c>
      <c r="F9" s="1" t="inlineStr">
        <is>
          <t>513동 2호,3호</t>
        </is>
      </c>
    </row>
    <row r="10">
      <c r="A10" s="1" t="inlineStr">
        <is>
          <t>C5</t>
        </is>
      </c>
      <c r="B10" s="4" t="n">
        <v>421851702</v>
      </c>
      <c r="C10" s="1" t="n">
        <v>59.23</v>
      </c>
      <c r="D10" s="1" t="n">
        <v>84.18000000000001</v>
      </c>
      <c r="E10" s="1" t="inlineStr">
        <is>
          <t>방3/화2</t>
        </is>
      </c>
      <c r="F10" s="1" t="inlineStr">
        <is>
          <t>513동 1호,4호</t>
        </is>
      </c>
    </row>
    <row r="11">
      <c r="B11" s="4" t="n"/>
    </row>
    <row r="12">
      <c r="B12" s="4" t="n"/>
    </row>
    <row r="13">
      <c r="B13" s="4" t="n"/>
    </row>
    <row r="14">
      <c r="B14" s="4" t="n"/>
    </row>
    <row r="15">
      <c r="B15" s="4" t="n"/>
    </row>
    <row r="16">
      <c r="B16" s="4" t="n"/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  <row r="30">
      <c r="B30" s="4" t="n"/>
    </row>
    <row r="31">
      <c r="B31" s="4" t="n"/>
    </row>
    <row r="32">
      <c r="B32" s="4" t="n"/>
    </row>
    <row r="33">
      <c r="B33" s="4" t="n"/>
    </row>
    <row r="34">
      <c r="B34" s="4" t="n"/>
    </row>
    <row r="35">
      <c r="B35" s="4" t="n"/>
    </row>
    <row r="36">
      <c r="B36" s="4" t="n"/>
    </row>
    <row r="37">
      <c r="B37" s="4" t="n"/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  <row r="201">
      <c r="B201" s="4" t="n"/>
    </row>
    <row r="202">
      <c r="B202" s="4" t="n"/>
    </row>
    <row r="203">
      <c r="B203" s="4" t="n"/>
    </row>
    <row r="204">
      <c r="B204" s="4" t="n"/>
    </row>
    <row r="205">
      <c r="B205" s="4" t="n"/>
    </row>
    <row r="206">
      <c r="B206" s="4" t="n"/>
    </row>
    <row r="207">
      <c r="B207" s="4" t="n"/>
    </row>
    <row r="208">
      <c r="B208" s="4" t="n"/>
    </row>
    <row r="209">
      <c r="B209" s="4" t="n"/>
    </row>
    <row r="210">
      <c r="B210" s="4" t="n"/>
    </row>
    <row r="211">
      <c r="B211" s="4" t="n"/>
    </row>
    <row r="212">
      <c r="B212" s="4" t="n"/>
    </row>
    <row r="213">
      <c r="B213" s="4" t="n"/>
    </row>
    <row r="214">
      <c r="B214" s="4" t="n"/>
    </row>
    <row r="215">
      <c r="B215" s="4" t="n"/>
    </row>
    <row r="216">
      <c r="B216" s="4" t="n"/>
    </row>
    <row r="217">
      <c r="B217" s="4" t="n"/>
    </row>
    <row r="218">
      <c r="B218" s="4" t="n"/>
    </row>
    <row r="219">
      <c r="B219" s="4" t="n"/>
    </row>
    <row r="220">
      <c r="B220" s="4" t="n"/>
    </row>
    <row r="221">
      <c r="B221" s="4" t="n"/>
    </row>
    <row r="222">
      <c r="B222" s="4" t="n"/>
    </row>
    <row r="223">
      <c r="B223" s="4" t="n"/>
    </row>
    <row r="224">
      <c r="B224" s="4" t="n"/>
    </row>
    <row r="225">
      <c r="B225" s="4" t="n"/>
    </row>
    <row r="226">
      <c r="B226" s="4" t="n"/>
    </row>
    <row r="227">
      <c r="B227" s="4" t="n"/>
    </row>
    <row r="228">
      <c r="B228" s="4" t="n"/>
    </row>
    <row r="229">
      <c r="B229" s="4" t="n"/>
    </row>
    <row r="230">
      <c r="B230" s="4" t="n"/>
    </row>
    <row r="231">
      <c r="B231" s="4" t="n"/>
    </row>
    <row r="232">
      <c r="B232" s="4" t="n"/>
    </row>
    <row r="233">
      <c r="B233" s="4" t="n"/>
    </row>
    <row r="234">
      <c r="B234" s="4" t="n"/>
    </row>
    <row r="235">
      <c r="B235" s="4" t="n"/>
    </row>
    <row r="236">
      <c r="B236" s="4" t="n"/>
    </row>
    <row r="237">
      <c r="B237" s="4" t="n"/>
    </row>
    <row r="238">
      <c r="B238" s="4" t="n"/>
    </row>
    <row r="239">
      <c r="B239" s="4" t="n"/>
    </row>
    <row r="240">
      <c r="B240" s="4" t="n"/>
    </row>
    <row r="241">
      <c r="B241" s="4" t="n"/>
    </row>
    <row r="242">
      <c r="B242" s="4" t="n"/>
    </row>
    <row r="243">
      <c r="B243" s="4" t="n"/>
    </row>
    <row r="244">
      <c r="B244" s="4" t="n"/>
    </row>
    <row r="245">
      <c r="B245" s="4" t="n"/>
    </row>
    <row r="246">
      <c r="B246" s="4" t="n"/>
    </row>
    <row r="247">
      <c r="B247" s="4" t="n"/>
    </row>
    <row r="248">
      <c r="B248" s="4" t="n"/>
    </row>
    <row r="249">
      <c r="B249" s="4" t="n"/>
    </row>
    <row r="250">
      <c r="B250" s="4" t="n"/>
    </row>
    <row r="251">
      <c r="B251" s="4" t="n"/>
    </row>
    <row r="252">
      <c r="B252" s="4" t="n"/>
    </row>
    <row r="253">
      <c r="B253" s="4" t="n"/>
    </row>
    <row r="254">
      <c r="B254" s="4" t="n"/>
    </row>
    <row r="255">
      <c r="B255" s="4" t="n"/>
    </row>
    <row r="256">
      <c r="B256" s="4" t="n"/>
    </row>
    <row r="257">
      <c r="B257" s="4" t="n"/>
    </row>
    <row r="258">
      <c r="B258" s="4" t="n"/>
    </row>
    <row r="259">
      <c r="B259" s="4" t="n"/>
    </row>
    <row r="260">
      <c r="B260" s="4" t="n"/>
    </row>
    <row r="261">
      <c r="B261" s="4" t="n"/>
    </row>
    <row r="262">
      <c r="B262" s="4" t="n"/>
    </row>
    <row r="263">
      <c r="B263" s="4" t="n"/>
    </row>
    <row r="264">
      <c r="B264" s="4" t="n"/>
    </row>
    <row r="265">
      <c r="B265" s="4" t="n"/>
    </row>
    <row r="266">
      <c r="B266" s="4" t="n"/>
    </row>
    <row r="267">
      <c r="B267" s="4" t="n"/>
    </row>
    <row r="268">
      <c r="B268" s="4" t="n"/>
    </row>
    <row r="269">
      <c r="B269" s="4" t="n"/>
    </row>
    <row r="270">
      <c r="B270" s="4" t="n"/>
    </row>
    <row r="271">
      <c r="B271" s="4" t="n"/>
    </row>
    <row r="272">
      <c r="B272" s="4" t="n"/>
    </row>
    <row r="273">
      <c r="B273" s="4" t="n"/>
    </row>
    <row r="274">
      <c r="B274" s="4" t="n"/>
    </row>
    <row r="275">
      <c r="B275" s="4" t="n"/>
    </row>
    <row r="276">
      <c r="B276" s="4" t="n"/>
    </row>
    <row r="277">
      <c r="B277" s="4" t="n"/>
    </row>
    <row r="278">
      <c r="B278" s="4" t="n"/>
    </row>
    <row r="279">
      <c r="B279" s="4" t="n"/>
    </row>
    <row r="280">
      <c r="B280" s="4" t="n"/>
    </row>
    <row r="281">
      <c r="B281" s="4" t="n"/>
    </row>
    <row r="282">
      <c r="B282" s="4" t="n"/>
    </row>
    <row r="283">
      <c r="B283" s="4" t="n"/>
    </row>
    <row r="284">
      <c r="B284" s="4" t="n"/>
    </row>
    <row r="285">
      <c r="B285" s="4" t="n"/>
    </row>
    <row r="286">
      <c r="B286" s="4" t="n"/>
    </row>
    <row r="287">
      <c r="B287" s="4" t="n"/>
    </row>
    <row r="288">
      <c r="B288" s="4" t="n"/>
    </row>
    <row r="289">
      <c r="B289" s="4" t="n"/>
    </row>
    <row r="290">
      <c r="B290" s="4" t="n"/>
    </row>
    <row r="291">
      <c r="B291" s="4" t="n"/>
    </row>
    <row r="292">
      <c r="B292" s="4" t="n"/>
    </row>
    <row r="293">
      <c r="B293" s="4" t="n"/>
    </row>
    <row r="294">
      <c r="B294" s="4" t="n"/>
    </row>
    <row r="295">
      <c r="B295" s="4" t="n"/>
    </row>
    <row r="296">
      <c r="B296" s="4" t="n"/>
    </row>
    <row r="297">
      <c r="B297" s="4" t="n"/>
    </row>
    <row r="298">
      <c r="B298" s="4" t="n"/>
    </row>
    <row r="299">
      <c r="B299" s="4" t="n"/>
    </row>
    <row r="300">
      <c r="B300" s="4" t="n"/>
    </row>
    <row r="301">
      <c r="B301" s="4" t="n"/>
    </row>
    <row r="302">
      <c r="B302" s="4" t="n"/>
    </row>
    <row r="303">
      <c r="B303" s="4" t="n"/>
    </row>
    <row r="304">
      <c r="B304" s="4" t="n"/>
    </row>
    <row r="305">
      <c r="B305" s="4" t="n"/>
    </row>
    <row r="306">
      <c r="B306" s="4" t="n"/>
    </row>
    <row r="307">
      <c r="B307" s="4" t="n"/>
    </row>
    <row r="308">
      <c r="B308" s="4" t="n"/>
    </row>
    <row r="309">
      <c r="B309" s="4" t="n"/>
    </row>
    <row r="310">
      <c r="B310" s="4" t="n"/>
    </row>
    <row r="311">
      <c r="B311" s="4" t="n"/>
    </row>
    <row r="312">
      <c r="B312" s="4" t="n"/>
    </row>
    <row r="313">
      <c r="B313" s="4" t="n"/>
    </row>
    <row r="314">
      <c r="B314" s="4" t="n"/>
    </row>
    <row r="315">
      <c r="B315" s="4" t="n"/>
    </row>
    <row r="316">
      <c r="B316" s="4" t="n"/>
    </row>
    <row r="317">
      <c r="B317" s="4" t="n"/>
    </row>
    <row r="318">
      <c r="B318" s="4" t="n"/>
    </row>
    <row r="319">
      <c r="B319" s="4" t="n"/>
    </row>
    <row r="320">
      <c r="B320" s="4" t="n"/>
    </row>
    <row r="321">
      <c r="B321" s="4" t="n"/>
    </row>
    <row r="322">
      <c r="B322" s="4" t="n"/>
    </row>
    <row r="323">
      <c r="B323" s="4" t="n"/>
    </row>
    <row r="324">
      <c r="B324" s="4" t="n"/>
    </row>
    <row r="325">
      <c r="B325" s="4" t="n"/>
    </row>
    <row r="326">
      <c r="B326" s="4" t="n"/>
    </row>
    <row r="327">
      <c r="B327" s="4" t="n"/>
    </row>
    <row r="328">
      <c r="B328" s="4" t="n"/>
    </row>
    <row r="329">
      <c r="B329" s="4" t="n"/>
    </row>
    <row r="330">
      <c r="B330" s="4" t="n"/>
    </row>
    <row r="331">
      <c r="B331" s="4" t="n"/>
    </row>
    <row r="332">
      <c r="B332" s="4" t="n"/>
    </row>
    <row r="333">
      <c r="B333" s="4" t="n"/>
    </row>
    <row r="334">
      <c r="B334" s="4" t="n"/>
    </row>
    <row r="335">
      <c r="B335" s="4" t="n"/>
    </row>
    <row r="336">
      <c r="B336" s="4" t="n"/>
    </row>
    <row r="337">
      <c r="B337" s="4" t="n"/>
    </row>
    <row r="338">
      <c r="B338" s="4" t="n"/>
    </row>
    <row r="339">
      <c r="B339" s="4" t="n"/>
    </row>
    <row r="340">
      <c r="B340" s="4" t="n"/>
    </row>
    <row r="341">
      <c r="B341" s="4" t="n"/>
    </row>
    <row r="342">
      <c r="B342" s="4" t="n"/>
    </row>
    <row r="343">
      <c r="B343" s="4" t="n"/>
    </row>
    <row r="344">
      <c r="B344" s="4" t="n"/>
    </row>
    <row r="345">
      <c r="B345" s="4" t="n"/>
    </row>
    <row r="346">
      <c r="B346" s="4" t="n"/>
    </row>
    <row r="347">
      <c r="B347" s="4" t="n"/>
    </row>
    <row r="348">
      <c r="B348" s="4" t="n"/>
    </row>
    <row r="349">
      <c r="B349" s="4" t="n"/>
    </row>
    <row r="350">
      <c r="B350" s="4" t="n"/>
    </row>
    <row r="351">
      <c r="B351" s="4" t="n"/>
    </row>
    <row r="352">
      <c r="B352" s="4" t="n"/>
    </row>
    <row r="353">
      <c r="B353" s="4" t="n"/>
    </row>
    <row r="354">
      <c r="B354" s="4" t="n"/>
    </row>
    <row r="355">
      <c r="B355" s="4" t="n"/>
    </row>
    <row r="356">
      <c r="B356" s="4" t="n"/>
    </row>
    <row r="357">
      <c r="B357" s="4" t="n"/>
    </row>
    <row r="358">
      <c r="B358" s="4" t="n"/>
    </row>
    <row r="359">
      <c r="B359" s="4" t="n"/>
    </row>
    <row r="360">
      <c r="B360" s="4" t="n"/>
    </row>
    <row r="361">
      <c r="B361" s="4" t="n"/>
    </row>
    <row r="362">
      <c r="B362" s="4" t="n"/>
    </row>
    <row r="363">
      <c r="B363" s="4" t="n"/>
    </row>
    <row r="364">
      <c r="B364" s="4" t="n"/>
    </row>
    <row r="365">
      <c r="B365" s="4" t="n"/>
    </row>
    <row r="366">
      <c r="B366" s="4" t="n"/>
    </row>
    <row r="367">
      <c r="B367" s="4" t="n"/>
    </row>
    <row r="368">
      <c r="B368" s="4" t="n"/>
    </row>
    <row r="369">
      <c r="B369" s="4" t="n"/>
    </row>
    <row r="370">
      <c r="B370" s="4" t="n"/>
    </row>
    <row r="371">
      <c r="B371" s="4" t="n"/>
    </row>
    <row r="372">
      <c r="B372" s="4" t="n"/>
    </row>
    <row r="373">
      <c r="B373" s="4" t="n"/>
    </row>
    <row r="374">
      <c r="B374" s="4" t="n"/>
    </row>
    <row r="375">
      <c r="B375" s="4" t="n"/>
    </row>
    <row r="376">
      <c r="B376" s="4" t="n"/>
    </row>
    <row r="377">
      <c r="B377" s="4" t="n"/>
    </row>
    <row r="378">
      <c r="B378" s="4" t="n"/>
    </row>
    <row r="379">
      <c r="B379" s="4" t="n"/>
    </row>
    <row r="380">
      <c r="B380" s="4" t="n"/>
    </row>
    <row r="381">
      <c r="B381" s="4" t="n"/>
    </row>
    <row r="382">
      <c r="B382" s="4" t="n"/>
    </row>
    <row r="383">
      <c r="B383" s="4" t="n"/>
    </row>
    <row r="384">
      <c r="B384" s="4" t="n"/>
    </row>
    <row r="385">
      <c r="B385" s="4" t="n"/>
    </row>
    <row r="386">
      <c r="B386" s="4" t="n"/>
    </row>
    <row r="387">
      <c r="B387" s="4" t="n"/>
    </row>
    <row r="388">
      <c r="B388" s="4" t="n"/>
    </row>
    <row r="389">
      <c r="B389" s="4" t="n"/>
    </row>
    <row r="390">
      <c r="B390" s="4" t="n"/>
    </row>
    <row r="391">
      <c r="B391" s="4" t="n"/>
    </row>
    <row r="392">
      <c r="B392" s="4" t="n"/>
    </row>
    <row r="393">
      <c r="B393" s="4" t="n"/>
    </row>
    <row r="394">
      <c r="B394" s="4" t="n"/>
    </row>
    <row r="395">
      <c r="B395" s="4" t="n"/>
    </row>
    <row r="396">
      <c r="B396" s="4" t="n"/>
    </row>
    <row r="397">
      <c r="B397" s="4" t="n"/>
    </row>
    <row r="398">
      <c r="B398" s="4" t="n"/>
    </row>
    <row r="399">
      <c r="B399" s="4" t="n"/>
    </row>
    <row r="400">
      <c r="B400" s="4" t="n"/>
    </row>
    <row r="401">
      <c r="B401" s="4" t="n"/>
    </row>
    <row r="402">
      <c r="B402" s="4" t="n"/>
    </row>
    <row r="403">
      <c r="B403" s="4" t="n"/>
    </row>
    <row r="404">
      <c r="B404" s="4" t="n"/>
    </row>
    <row r="405">
      <c r="B405" s="4" t="n"/>
    </row>
    <row r="406">
      <c r="B406" s="4" t="n"/>
    </row>
    <row r="407">
      <c r="B407" s="4" t="n"/>
    </row>
    <row r="408">
      <c r="B408" s="4" t="n"/>
    </row>
    <row r="409">
      <c r="B409" s="4" t="n"/>
    </row>
    <row r="410">
      <c r="B410" s="4" t="n"/>
    </row>
    <row r="411">
      <c r="B411" s="4" t="n"/>
    </row>
    <row r="412">
      <c r="B412" s="4" t="n"/>
    </row>
    <row r="413">
      <c r="B413" s="4" t="n"/>
    </row>
    <row r="414">
      <c r="B414" s="4" t="n"/>
    </row>
    <row r="415">
      <c r="B415" s="4" t="n"/>
    </row>
    <row r="416">
      <c r="B416" s="4" t="n"/>
    </row>
    <row r="417">
      <c r="B417" s="4" t="n"/>
    </row>
    <row r="418">
      <c r="B418" s="4" t="n"/>
    </row>
    <row r="419">
      <c r="B419" s="4" t="n"/>
    </row>
    <row r="420">
      <c r="B420" s="4" t="n"/>
    </row>
    <row r="421">
      <c r="B421" s="4" t="n"/>
    </row>
    <row r="422">
      <c r="B422" s="4" t="n"/>
    </row>
    <row r="423">
      <c r="B423" s="4" t="n"/>
    </row>
    <row r="424">
      <c r="B424" s="4" t="n"/>
    </row>
    <row r="425">
      <c r="B425" s="4" t="n"/>
    </row>
    <row r="426">
      <c r="B426" s="4" t="n"/>
    </row>
    <row r="427">
      <c r="B427" s="4" t="n"/>
    </row>
    <row r="428">
      <c r="B428" s="4" t="n"/>
    </row>
    <row r="429">
      <c r="B429" s="4" t="n"/>
    </row>
    <row r="430">
      <c r="B430" s="4" t="n"/>
    </row>
    <row r="431">
      <c r="B431" s="4" t="n"/>
    </row>
    <row r="432">
      <c r="B432" s="4" t="n"/>
    </row>
    <row r="433">
      <c r="B433" s="4" t="n"/>
    </row>
    <row r="434">
      <c r="B434" s="4" t="n"/>
    </row>
    <row r="435">
      <c r="B435" s="4" t="n"/>
    </row>
    <row r="436">
      <c r="B436" s="4" t="n"/>
    </row>
    <row r="437">
      <c r="B437" s="4" t="n"/>
    </row>
    <row r="438">
      <c r="B438" s="4" t="n"/>
    </row>
    <row r="439">
      <c r="B439" s="4" t="n"/>
    </row>
    <row r="440">
      <c r="B440" s="4" t="n"/>
    </row>
    <row r="441">
      <c r="B441" s="4" t="n"/>
    </row>
    <row r="442">
      <c r="B442" s="4" t="n"/>
    </row>
    <row r="443">
      <c r="B443" s="4" t="n"/>
    </row>
    <row r="444">
      <c r="B444" s="4" t="n"/>
    </row>
    <row r="445">
      <c r="B445" s="4" t="n"/>
    </row>
    <row r="446">
      <c r="B446" s="4" t="n"/>
    </row>
    <row r="447">
      <c r="B447" s="4" t="n"/>
    </row>
    <row r="448">
      <c r="B448" s="4" t="n"/>
    </row>
    <row r="449">
      <c r="B449" s="4" t="n"/>
    </row>
    <row r="450">
      <c r="B450" s="4" t="n"/>
    </row>
    <row r="451">
      <c r="B451" s="4" t="n"/>
    </row>
    <row r="452">
      <c r="B452" s="4" t="n"/>
    </row>
    <row r="453">
      <c r="B453" s="4" t="n"/>
    </row>
    <row r="454">
      <c r="B454" s="4" t="n"/>
    </row>
    <row r="455">
      <c r="B455" s="4" t="n"/>
    </row>
    <row r="456">
      <c r="B456" s="4" t="n"/>
    </row>
    <row r="457">
      <c r="B457" s="4" t="n"/>
    </row>
    <row r="458">
      <c r="B458" s="4" t="n"/>
    </row>
    <row r="459">
      <c r="B459" s="4" t="n"/>
    </row>
    <row r="460">
      <c r="B460" s="4" t="n"/>
    </row>
    <row r="461">
      <c r="B461" s="4" t="n"/>
    </row>
    <row r="462">
      <c r="B462" s="4" t="n"/>
    </row>
    <row r="463">
      <c r="B463" s="4" t="n"/>
    </row>
    <row r="464">
      <c r="B464" s="4" t="n"/>
    </row>
    <row r="465">
      <c r="B465" s="4" t="n"/>
    </row>
    <row r="466">
      <c r="B466" s="4" t="n"/>
    </row>
    <row r="467">
      <c r="B467" s="4" t="n"/>
    </row>
    <row r="468">
      <c r="B468" s="4" t="n"/>
    </row>
    <row r="469">
      <c r="B469" s="4" t="n"/>
    </row>
    <row r="470">
      <c r="B470" s="4" t="n"/>
    </row>
    <row r="471">
      <c r="B471" s="4" t="n"/>
    </row>
    <row r="472">
      <c r="B472" s="4" t="n"/>
    </row>
    <row r="473">
      <c r="B473" s="4" t="n"/>
    </row>
    <row r="474">
      <c r="B474" s="4" t="n"/>
    </row>
    <row r="475">
      <c r="B475" s="4" t="n"/>
    </row>
    <row r="476">
      <c r="B476" s="4" t="n"/>
    </row>
    <row r="477">
      <c r="B477" s="4" t="n"/>
    </row>
    <row r="478">
      <c r="B478" s="4" t="n"/>
    </row>
    <row r="479">
      <c r="B479" s="4" t="n"/>
    </row>
    <row r="480">
      <c r="B480" s="4" t="n"/>
    </row>
    <row r="481">
      <c r="B481" s="4" t="n"/>
    </row>
    <row r="482">
      <c r="B482" s="4" t="n"/>
    </row>
    <row r="483">
      <c r="B483" s="4" t="n"/>
    </row>
    <row r="484">
      <c r="B484" s="4" t="n"/>
    </row>
    <row r="485">
      <c r="B485" s="4" t="n"/>
    </row>
    <row r="486">
      <c r="B486" s="4" t="n"/>
    </row>
    <row r="487">
      <c r="B487" s="4" t="n"/>
    </row>
    <row r="488">
      <c r="B488" s="4" t="n"/>
    </row>
    <row r="489">
      <c r="B489" s="4" t="n"/>
    </row>
    <row r="490">
      <c r="B490" s="4" t="n"/>
    </row>
    <row r="491">
      <c r="B491" s="4" t="n"/>
    </row>
    <row r="492">
      <c r="B492" s="4" t="n"/>
    </row>
    <row r="493">
      <c r="B493" s="4" t="n"/>
    </row>
    <row r="494">
      <c r="B494" s="4" t="n"/>
    </row>
    <row r="495">
      <c r="B495" s="4" t="n"/>
    </row>
    <row r="496">
      <c r="B496" s="4" t="n"/>
    </row>
    <row r="497">
      <c r="B497" s="4" t="n"/>
    </row>
    <row r="498">
      <c r="B498" s="4" t="n"/>
    </row>
    <row r="499">
      <c r="B499" s="4" t="n"/>
    </row>
    <row r="500">
      <c r="B500" s="4" t="n"/>
    </row>
    <row r="501">
      <c r="B501" s="4" t="n"/>
    </row>
    <row r="502">
      <c r="B502" s="4" t="n"/>
    </row>
    <row r="503">
      <c r="B503" s="4" t="n"/>
    </row>
    <row r="504">
      <c r="B504" s="4" t="n"/>
    </row>
    <row r="505">
      <c r="B505" s="4" t="n"/>
    </row>
    <row r="506">
      <c r="B506" s="4" t="n"/>
    </row>
    <row r="507">
      <c r="B507" s="4" t="n"/>
    </row>
    <row r="508">
      <c r="B508" s="4" t="n"/>
    </row>
    <row r="509">
      <c r="B509" s="4" t="n"/>
    </row>
    <row r="510">
      <c r="B510" s="4" t="n"/>
    </row>
    <row r="511">
      <c r="B511" s="4" t="n"/>
    </row>
    <row r="512">
      <c r="B512" s="4" t="n"/>
    </row>
    <row r="513">
      <c r="B513" s="4" t="n"/>
    </row>
    <row r="514">
      <c r="B514" s="4" t="n"/>
    </row>
    <row r="515">
      <c r="B515" s="4" t="n"/>
    </row>
    <row r="516">
      <c r="B516" s="4" t="n"/>
    </row>
    <row r="517">
      <c r="B517" s="4" t="n"/>
    </row>
    <row r="518">
      <c r="B518" s="4" t="n"/>
    </row>
    <row r="519">
      <c r="B519" s="4" t="n"/>
    </row>
    <row r="520">
      <c r="B520" s="4" t="n"/>
    </row>
    <row r="521">
      <c r="B521" s="4" t="n"/>
    </row>
    <row r="522">
      <c r="B522" s="4" t="n"/>
    </row>
    <row r="523">
      <c r="B523" s="4" t="n"/>
    </row>
    <row r="524">
      <c r="B524" s="4" t="n"/>
    </row>
    <row r="525">
      <c r="B525" s="4" t="n"/>
    </row>
    <row r="526">
      <c r="B526" s="4" t="n"/>
    </row>
    <row r="527">
      <c r="B527" s="4" t="n"/>
    </row>
    <row r="528">
      <c r="B528" s="4" t="n"/>
    </row>
    <row r="529">
      <c r="B529" s="4" t="n"/>
    </row>
    <row r="530">
      <c r="B530" s="4" t="n"/>
    </row>
    <row r="531">
      <c r="B531" s="4" t="n"/>
    </row>
    <row r="532">
      <c r="B532" s="4" t="n"/>
    </row>
    <row r="533">
      <c r="B533" s="4" t="n"/>
    </row>
    <row r="534">
      <c r="B534" s="4" t="n"/>
    </row>
    <row r="535">
      <c r="B535" s="4" t="n"/>
    </row>
    <row r="536">
      <c r="B536" s="4" t="n"/>
    </row>
    <row r="537">
      <c r="B537" s="4" t="n"/>
    </row>
    <row r="538">
      <c r="B538" s="4" t="n"/>
    </row>
    <row r="539">
      <c r="B539" s="4" t="n"/>
    </row>
    <row r="540">
      <c r="B540" s="4" t="n"/>
    </row>
    <row r="541">
      <c r="B541" s="4" t="n"/>
    </row>
    <row r="542">
      <c r="B542" s="4" t="n"/>
    </row>
    <row r="543">
      <c r="B543" s="4" t="n"/>
    </row>
    <row r="544">
      <c r="B544" s="4" t="n"/>
    </row>
    <row r="545">
      <c r="B545" s="4" t="n"/>
    </row>
    <row r="546">
      <c r="B546" s="4" t="n"/>
    </row>
    <row r="547">
      <c r="B547" s="4" t="n"/>
    </row>
    <row r="548">
      <c r="B548" s="4" t="n"/>
    </row>
    <row r="549">
      <c r="B549" s="4" t="n"/>
    </row>
    <row r="550">
      <c r="B550" s="4" t="n"/>
    </row>
    <row r="551">
      <c r="B551" s="4" t="n"/>
    </row>
    <row r="552">
      <c r="B552" s="4" t="n"/>
    </row>
    <row r="553">
      <c r="B553" s="4" t="n"/>
    </row>
    <row r="554">
      <c r="B554" s="4" t="n"/>
    </row>
    <row r="555">
      <c r="B555" s="4" t="n"/>
    </row>
    <row r="556">
      <c r="B556" s="4" t="n"/>
    </row>
    <row r="557">
      <c r="B557" s="4" t="n"/>
    </row>
    <row r="558">
      <c r="B558" s="4" t="n"/>
    </row>
    <row r="559">
      <c r="B559" s="4" t="n"/>
    </row>
    <row r="560">
      <c r="B560" s="4" t="n"/>
    </row>
    <row r="561">
      <c r="B561" s="4" t="n"/>
    </row>
    <row r="562">
      <c r="B562" s="4" t="n"/>
    </row>
    <row r="563">
      <c r="B563" s="4" t="n"/>
    </row>
    <row r="564">
      <c r="B564" s="4" t="n"/>
    </row>
    <row r="565">
      <c r="B565" s="4" t="n"/>
    </row>
    <row r="566">
      <c r="B566" s="4" t="n"/>
    </row>
    <row r="567">
      <c r="B567" s="4" t="n"/>
    </row>
    <row r="568">
      <c r="B568" s="4" t="n"/>
    </row>
    <row r="569">
      <c r="B569" s="4" t="n"/>
    </row>
    <row r="570">
      <c r="B570" s="4" t="n"/>
    </row>
    <row r="571">
      <c r="B571" s="4" t="n"/>
    </row>
    <row r="572">
      <c r="B572" s="4" t="n"/>
    </row>
    <row r="573">
      <c r="B573" s="4" t="n"/>
    </row>
    <row r="574">
      <c r="B574" s="4" t="n"/>
    </row>
    <row r="575">
      <c r="B575" s="4" t="n"/>
    </row>
    <row r="576">
      <c r="B576" s="4" t="n"/>
    </row>
    <row r="577">
      <c r="B577" s="4" t="n"/>
    </row>
    <row r="578">
      <c r="B578" s="4" t="n"/>
    </row>
    <row r="579">
      <c r="B579" s="4" t="n"/>
    </row>
    <row r="580">
      <c r="B580" s="4" t="n"/>
    </row>
    <row r="581">
      <c r="B581" s="4" t="n"/>
    </row>
    <row r="582">
      <c r="B582" s="4" t="n"/>
    </row>
    <row r="583">
      <c r="B583" s="4" t="n"/>
    </row>
    <row r="584">
      <c r="B584" s="4" t="n"/>
    </row>
    <row r="585">
      <c r="B585" s="4" t="n"/>
    </row>
    <row r="586">
      <c r="B586" s="4" t="n"/>
    </row>
    <row r="587">
      <c r="B587" s="4" t="n"/>
    </row>
    <row r="588">
      <c r="B588" s="4" t="n"/>
    </row>
    <row r="589">
      <c r="B589" s="4" t="n"/>
    </row>
    <row r="590">
      <c r="B590" s="4" t="n"/>
    </row>
    <row r="591">
      <c r="B591" s="4" t="n"/>
    </row>
    <row r="592">
      <c r="B592" s="4" t="n"/>
    </row>
    <row r="593">
      <c r="B593" s="4" t="n"/>
    </row>
    <row r="594">
      <c r="B594" s="4" t="n"/>
    </row>
    <row r="595">
      <c r="B595" s="4" t="n"/>
    </row>
    <row r="596">
      <c r="B596" s="4" t="n"/>
    </row>
    <row r="597">
      <c r="B597" s="4" t="n"/>
    </row>
    <row r="598">
      <c r="B598" s="4" t="n"/>
    </row>
    <row r="599">
      <c r="B599" s="4" t="n"/>
    </row>
    <row r="600">
      <c r="B600" s="4" t="n"/>
    </row>
    <row r="601">
      <c r="B601" s="4" t="n"/>
    </row>
    <row r="602">
      <c r="B602" s="4" t="n"/>
    </row>
    <row r="603">
      <c r="B603" s="4" t="n"/>
    </row>
    <row r="604">
      <c r="B604" s="4" t="n"/>
    </row>
    <row r="605">
      <c r="B605" s="4" t="n"/>
    </row>
    <row r="606">
      <c r="B606" s="4" t="n"/>
    </row>
    <row r="607">
      <c r="B607" s="4" t="n"/>
    </row>
    <row r="608">
      <c r="B608" s="4" t="n"/>
    </row>
    <row r="609">
      <c r="B609" s="4" t="n"/>
    </row>
    <row r="610">
      <c r="B610" s="4" t="n"/>
    </row>
    <row r="611">
      <c r="B611" s="4" t="n"/>
    </row>
    <row r="612">
      <c r="B612" s="4" t="n"/>
    </row>
    <row r="613">
      <c r="B613" s="4" t="n"/>
    </row>
    <row r="614">
      <c r="B614" s="4" t="n"/>
    </row>
    <row r="615">
      <c r="B615" s="4" t="n"/>
    </row>
    <row r="616">
      <c r="B616" s="4" t="n"/>
    </row>
    <row r="617">
      <c r="B617" s="4" t="n"/>
    </row>
    <row r="618">
      <c r="B618" s="4" t="n"/>
    </row>
    <row r="619">
      <c r="B619" s="4" t="n"/>
    </row>
    <row r="620">
      <c r="B620" s="4" t="n"/>
    </row>
    <row r="621">
      <c r="B621" s="4" t="n"/>
    </row>
    <row r="622">
      <c r="B622" s="4" t="n"/>
    </row>
    <row r="623">
      <c r="B623" s="4" t="n"/>
    </row>
    <row r="624">
      <c r="B624" s="4" t="n"/>
    </row>
    <row r="625">
      <c r="B625" s="4" t="n"/>
    </row>
    <row r="626">
      <c r="B626" s="4" t="n"/>
    </row>
    <row r="627">
      <c r="B627" s="4" t="n"/>
    </row>
    <row r="628">
      <c r="B628" s="4" t="n"/>
    </row>
    <row r="629">
      <c r="B629" s="4" t="n"/>
    </row>
    <row r="630">
      <c r="B630" s="4" t="n"/>
    </row>
    <row r="631">
      <c r="B631" s="4" t="n"/>
    </row>
    <row r="632">
      <c r="B632" s="4" t="n"/>
    </row>
    <row r="633">
      <c r="B633" s="4" t="n"/>
    </row>
    <row r="634">
      <c r="B634" s="4" t="n"/>
    </row>
    <row r="635">
      <c r="B635" s="4" t="n"/>
    </row>
    <row r="636">
      <c r="B636" s="4" t="n"/>
    </row>
    <row r="637">
      <c r="B637" s="4" t="n"/>
    </row>
    <row r="638">
      <c r="B638" s="4" t="n"/>
    </row>
    <row r="639">
      <c r="B639" s="4" t="n"/>
    </row>
    <row r="640">
      <c r="B640" s="4" t="n"/>
    </row>
    <row r="641">
      <c r="B641" s="4" t="n"/>
    </row>
    <row r="642">
      <c r="B642" s="4" t="n"/>
    </row>
    <row r="643">
      <c r="B643" s="4" t="n"/>
    </row>
    <row r="644">
      <c r="B644" s="4" t="n"/>
    </row>
    <row r="645">
      <c r="B645" s="4" t="n"/>
    </row>
    <row r="646">
      <c r="B646" s="4" t="n"/>
    </row>
    <row r="647">
      <c r="B647" s="4" t="n"/>
    </row>
    <row r="648">
      <c r="B648" s="4" t="n"/>
    </row>
    <row r="649">
      <c r="B649" s="4" t="n"/>
    </row>
    <row r="650">
      <c r="B650" s="4" t="n"/>
    </row>
    <row r="651">
      <c r="B651" s="4" t="n"/>
    </row>
    <row r="652">
      <c r="B652" s="4" t="n"/>
    </row>
    <row r="653">
      <c r="B653" s="4" t="n"/>
    </row>
    <row r="654">
      <c r="B654" s="4" t="n"/>
    </row>
    <row r="655">
      <c r="B655" s="4" t="n"/>
    </row>
    <row r="656">
      <c r="B656" s="4" t="n"/>
    </row>
    <row r="657">
      <c r="B657" s="4" t="n"/>
    </row>
    <row r="658">
      <c r="B658" s="4" t="n"/>
    </row>
    <row r="659">
      <c r="B659" s="4" t="n"/>
    </row>
    <row r="660">
      <c r="B660" s="4" t="n"/>
    </row>
    <row r="661">
      <c r="B661" s="4" t="n"/>
    </row>
    <row r="662">
      <c r="B662" s="4" t="n"/>
    </row>
    <row r="663">
      <c r="B663" s="4" t="n"/>
    </row>
    <row r="664">
      <c r="B664" s="4" t="n"/>
    </row>
    <row r="665">
      <c r="B665" s="4" t="n"/>
    </row>
    <row r="666">
      <c r="B666" s="4" t="n"/>
    </row>
    <row r="667">
      <c r="B667" s="4" t="n"/>
    </row>
    <row r="668">
      <c r="B668" s="4" t="n"/>
    </row>
    <row r="669">
      <c r="B669" s="4" t="n"/>
    </row>
    <row r="670">
      <c r="B670" s="4" t="n"/>
    </row>
    <row r="671">
      <c r="B671" s="4" t="n"/>
    </row>
    <row r="672">
      <c r="B672" s="4" t="n"/>
    </row>
    <row r="673">
      <c r="B673" s="4" t="n"/>
    </row>
    <row r="674">
      <c r="B674" s="4" t="n"/>
    </row>
    <row r="675">
      <c r="B675" s="4" t="n"/>
    </row>
    <row r="676">
      <c r="B676" s="4" t="n"/>
    </row>
    <row r="677">
      <c r="B677" s="4" t="n"/>
    </row>
    <row r="678">
      <c r="B678" s="4" t="n"/>
    </row>
    <row r="679">
      <c r="B679" s="4" t="n"/>
    </row>
    <row r="680">
      <c r="B680" s="4" t="n"/>
    </row>
    <row r="681">
      <c r="B681" s="4" t="n"/>
    </row>
    <row r="682">
      <c r="B682" s="4" t="n"/>
    </row>
    <row r="683">
      <c r="B683" s="4" t="n"/>
    </row>
    <row r="684">
      <c r="B684" s="4" t="n"/>
    </row>
    <row r="685">
      <c r="B685" s="4" t="n"/>
    </row>
    <row r="686">
      <c r="B686" s="4" t="n"/>
    </row>
    <row r="687">
      <c r="B687" s="4" t="n"/>
    </row>
    <row r="688">
      <c r="B688" s="4" t="n"/>
    </row>
    <row r="689">
      <c r="B689" s="4" t="n"/>
    </row>
    <row r="690">
      <c r="B690" s="4" t="n"/>
    </row>
    <row r="691">
      <c r="B691" s="4" t="n"/>
    </row>
    <row r="692">
      <c r="B692" s="4" t="n"/>
    </row>
    <row r="693">
      <c r="B693" s="4" t="n"/>
    </row>
    <row r="694">
      <c r="B694" s="4" t="n"/>
    </row>
    <row r="695">
      <c r="B695" s="4" t="n"/>
    </row>
    <row r="696">
      <c r="B696" s="4" t="n"/>
    </row>
    <row r="697">
      <c r="B697" s="4" t="n"/>
    </row>
    <row r="698">
      <c r="B698" s="4" t="n"/>
    </row>
    <row r="699">
      <c r="B699" s="4" t="n"/>
    </row>
    <row r="700">
      <c r="B700" s="4" t="n"/>
    </row>
    <row r="701">
      <c r="B701" s="4" t="n"/>
    </row>
    <row r="702">
      <c r="B702" s="4" t="n"/>
    </row>
    <row r="703">
      <c r="B703" s="4" t="n"/>
    </row>
    <row r="704">
      <c r="B704" s="4" t="n"/>
    </row>
    <row r="705">
      <c r="B705" s="4" t="n"/>
    </row>
    <row r="706">
      <c r="B706" s="4" t="n"/>
    </row>
    <row r="707">
      <c r="B707" s="4" t="n"/>
    </row>
    <row r="708">
      <c r="B708" s="4" t="n"/>
    </row>
    <row r="709">
      <c r="B709" s="4" t="n"/>
    </row>
    <row r="710">
      <c r="B710" s="4" t="n"/>
    </row>
    <row r="711">
      <c r="B711" s="4" t="n"/>
    </row>
    <row r="712">
      <c r="B712" s="4" t="n"/>
    </row>
    <row r="713">
      <c r="B713" s="4" t="n"/>
    </row>
    <row r="714">
      <c r="B714" s="4" t="n"/>
    </row>
    <row r="715">
      <c r="B715" s="4" t="n"/>
    </row>
    <row r="716">
      <c r="B716" s="4" t="n"/>
    </row>
    <row r="717">
      <c r="B717" s="4" t="n"/>
    </row>
    <row r="718">
      <c r="B718" s="4" t="n"/>
    </row>
    <row r="719">
      <c r="B719" s="4" t="n"/>
    </row>
    <row r="720">
      <c r="B720" s="4" t="n"/>
    </row>
    <row r="721">
      <c r="B721" s="4" t="n"/>
    </row>
    <row r="722">
      <c r="B722" s="4" t="n"/>
    </row>
    <row r="723">
      <c r="B723" s="4" t="n"/>
    </row>
    <row r="724">
      <c r="B724" s="4" t="n"/>
    </row>
    <row r="725">
      <c r="B725" s="4" t="n"/>
    </row>
    <row r="726">
      <c r="B726" s="4" t="n"/>
    </row>
    <row r="727">
      <c r="B727" s="4" t="n"/>
    </row>
    <row r="728">
      <c r="B728" s="4" t="n"/>
    </row>
    <row r="729">
      <c r="B729" s="4" t="n"/>
    </row>
    <row r="730">
      <c r="B730" s="4" t="n"/>
    </row>
    <row r="731">
      <c r="B731" s="4" t="n"/>
    </row>
    <row r="732">
      <c r="B732" s="4" t="n"/>
    </row>
    <row r="733">
      <c r="B733" s="4" t="n"/>
    </row>
    <row r="734">
      <c r="B734" s="4" t="n"/>
    </row>
    <row r="735">
      <c r="B735" s="4" t="n"/>
    </row>
    <row r="736">
      <c r="B736" s="4" t="n"/>
    </row>
    <row r="737">
      <c r="B737" s="4" t="n"/>
    </row>
    <row r="738">
      <c r="B738" s="4" t="n"/>
    </row>
    <row r="739">
      <c r="B739" s="4" t="n"/>
    </row>
    <row r="740">
      <c r="B740" s="4" t="n"/>
    </row>
    <row r="741">
      <c r="B741" s="4" t="n"/>
    </row>
    <row r="742">
      <c r="B742" s="4" t="n"/>
    </row>
    <row r="743">
      <c r="B743" s="4" t="n"/>
    </row>
    <row r="744">
      <c r="B744" s="4" t="n"/>
    </row>
    <row r="745">
      <c r="B745" s="4" t="n"/>
    </row>
    <row r="746">
      <c r="B746" s="4" t="n"/>
    </row>
    <row r="747">
      <c r="B747" s="4" t="n"/>
    </row>
    <row r="748">
      <c r="B748" s="4" t="n"/>
    </row>
    <row r="749">
      <c r="B749" s="4" t="n"/>
    </row>
    <row r="750">
      <c r="B750" s="4" t="n"/>
    </row>
    <row r="751">
      <c r="B751" s="4" t="n"/>
    </row>
    <row r="752">
      <c r="B752" s="4" t="n"/>
    </row>
    <row r="753">
      <c r="B753" s="4" t="n"/>
    </row>
    <row r="754">
      <c r="B754" s="4" t="n"/>
    </row>
    <row r="755">
      <c r="B755" s="4" t="n"/>
    </row>
    <row r="756">
      <c r="B756" s="4" t="n"/>
    </row>
    <row r="757">
      <c r="B757" s="4" t="n"/>
    </row>
    <row r="758">
      <c r="B758" s="4" t="n"/>
    </row>
    <row r="759">
      <c r="B759" s="4" t="n"/>
    </row>
    <row r="760">
      <c r="B760" s="4" t="n"/>
    </row>
    <row r="761">
      <c r="B761" s="4" t="n"/>
    </row>
    <row r="762">
      <c r="B762" s="4" t="n"/>
    </row>
    <row r="763">
      <c r="B763" s="4" t="n"/>
    </row>
    <row r="764">
      <c r="B764" s="4" t="n"/>
    </row>
    <row r="765">
      <c r="B765" s="4" t="n"/>
    </row>
    <row r="766">
      <c r="B766" s="4" t="n"/>
    </row>
    <row r="767">
      <c r="B767" s="4" t="n"/>
    </row>
    <row r="768">
      <c r="B768" s="4" t="n"/>
    </row>
    <row r="769">
      <c r="B769" s="4" t="n"/>
    </row>
    <row r="770">
      <c r="B770" s="4" t="n"/>
    </row>
    <row r="771">
      <c r="B771" s="4" t="n"/>
    </row>
    <row r="772">
      <c r="B772" s="4" t="n"/>
    </row>
    <row r="773">
      <c r="B773" s="4" t="n"/>
    </row>
    <row r="774">
      <c r="B774" s="4" t="n"/>
    </row>
    <row r="775">
      <c r="B775" s="4" t="n"/>
    </row>
    <row r="776">
      <c r="B776" s="4" t="n"/>
    </row>
    <row r="777">
      <c r="B777" s="4" t="n"/>
    </row>
    <row r="778">
      <c r="B778" s="4" t="n"/>
    </row>
    <row r="779">
      <c r="B779" s="4" t="n"/>
    </row>
    <row r="780">
      <c r="B780" s="4" t="n"/>
    </row>
    <row r="781">
      <c r="B781" s="4" t="n"/>
    </row>
    <row r="782">
      <c r="B782" s="4" t="n"/>
    </row>
    <row r="783">
      <c r="B783" s="4" t="n"/>
    </row>
    <row r="784">
      <c r="B784" s="4" t="n"/>
    </row>
    <row r="785">
      <c r="B785" s="4" t="n"/>
    </row>
    <row r="786">
      <c r="B786" s="4" t="n"/>
    </row>
    <row r="787">
      <c r="B787" s="4" t="n"/>
    </row>
    <row r="788">
      <c r="B788" s="4" t="n"/>
    </row>
    <row r="789">
      <c r="B789" s="4" t="n"/>
    </row>
    <row r="790">
      <c r="B790" s="4" t="n"/>
    </row>
    <row r="791">
      <c r="B791" s="4" t="n"/>
    </row>
    <row r="792">
      <c r="B792" s="4" t="n"/>
    </row>
    <row r="793">
      <c r="B793" s="4" t="n"/>
    </row>
    <row r="794">
      <c r="B794" s="4" t="n"/>
    </row>
    <row r="795">
      <c r="B795" s="4" t="n"/>
    </row>
    <row r="796">
      <c r="B796" s="4" t="n"/>
    </row>
    <row r="797">
      <c r="B797" s="4" t="n"/>
    </row>
    <row r="798">
      <c r="B798" s="4" t="n"/>
    </row>
    <row r="799">
      <c r="B799" s="4" t="n"/>
    </row>
    <row r="800">
      <c r="B800" s="4" t="n"/>
    </row>
    <row r="801">
      <c r="B801" s="4" t="n"/>
    </row>
    <row r="802">
      <c r="B802" s="4" t="n"/>
    </row>
    <row r="803">
      <c r="B803" s="4" t="n"/>
    </row>
    <row r="804">
      <c r="B804" s="4" t="n"/>
    </row>
    <row r="805">
      <c r="B805" s="4" t="n"/>
    </row>
    <row r="806">
      <c r="B806" s="4" t="n"/>
    </row>
    <row r="807">
      <c r="B807" s="4" t="n"/>
    </row>
    <row r="808">
      <c r="B808" s="4" t="n"/>
    </row>
    <row r="809">
      <c r="B809" s="4" t="n"/>
    </row>
    <row r="810">
      <c r="B810" s="4" t="n"/>
    </row>
    <row r="811">
      <c r="B811" s="4" t="n"/>
    </row>
    <row r="812">
      <c r="B812" s="4" t="n"/>
    </row>
    <row r="813">
      <c r="B813" s="4" t="n"/>
    </row>
    <row r="814">
      <c r="B814" s="4" t="n"/>
    </row>
    <row r="815">
      <c r="B815" s="4" t="n"/>
    </row>
    <row r="816">
      <c r="B816" s="4" t="n"/>
    </row>
    <row r="817">
      <c r="B817" s="4" t="n"/>
    </row>
    <row r="818">
      <c r="B818" s="4" t="n"/>
    </row>
    <row r="819">
      <c r="B819" s="4" t="n"/>
    </row>
    <row r="820">
      <c r="B820" s="4" t="n"/>
    </row>
    <row r="821">
      <c r="B821" s="4" t="n"/>
    </row>
    <row r="822">
      <c r="B822" s="4" t="n"/>
    </row>
    <row r="823">
      <c r="B823" s="4" t="n"/>
    </row>
    <row r="824">
      <c r="B824" s="4" t="n"/>
    </row>
    <row r="825">
      <c r="B825" s="4" t="n"/>
    </row>
    <row r="826">
      <c r="B826" s="4" t="n"/>
    </row>
    <row r="827">
      <c r="B827" s="4" t="n"/>
    </row>
    <row r="828">
      <c r="B828" s="4" t="n"/>
    </row>
    <row r="829">
      <c r="B829" s="4" t="n"/>
    </row>
    <row r="830">
      <c r="B830" s="4" t="n"/>
    </row>
    <row r="831">
      <c r="B831" s="4" t="n"/>
    </row>
    <row r="832">
      <c r="B832" s="4" t="n"/>
    </row>
    <row r="833">
      <c r="B833" s="4" t="n"/>
    </row>
    <row r="834">
      <c r="B834" s="4" t="n"/>
    </row>
    <row r="835">
      <c r="B835" s="4" t="n"/>
    </row>
    <row r="836">
      <c r="B836" s="4" t="n"/>
    </row>
    <row r="837">
      <c r="B837" s="4" t="n"/>
    </row>
    <row r="838">
      <c r="B838" s="4" t="n"/>
    </row>
    <row r="839">
      <c r="B839" s="4" t="n"/>
    </row>
    <row r="840">
      <c r="B840" s="4" t="n"/>
    </row>
    <row r="841">
      <c r="B841" s="4" t="n"/>
    </row>
    <row r="842">
      <c r="B842" s="4" t="n"/>
    </row>
    <row r="843">
      <c r="B843" s="4" t="n"/>
    </row>
    <row r="844">
      <c r="B844" s="4" t="n"/>
    </row>
    <row r="845">
      <c r="B845" s="4" t="n"/>
    </row>
    <row r="846">
      <c r="B846" s="4" t="n"/>
    </row>
    <row r="847">
      <c r="B847" s="4" t="n"/>
    </row>
    <row r="848">
      <c r="B848" s="4" t="n"/>
    </row>
    <row r="849">
      <c r="B849" s="4" t="n"/>
    </row>
    <row r="850">
      <c r="B850" s="4" t="n"/>
    </row>
    <row r="851">
      <c r="B851" s="4" t="n"/>
    </row>
    <row r="852">
      <c r="B852" s="4" t="n"/>
    </row>
    <row r="853">
      <c r="B853" s="4" t="n"/>
    </row>
    <row r="854">
      <c r="B854" s="4" t="n"/>
    </row>
    <row r="855">
      <c r="B855" s="4" t="n"/>
    </row>
    <row r="856">
      <c r="B856" s="4" t="n"/>
    </row>
    <row r="857">
      <c r="B857" s="4" t="n"/>
    </row>
    <row r="858">
      <c r="B858" s="4" t="n"/>
    </row>
    <row r="859">
      <c r="B859" s="4" t="n"/>
    </row>
    <row r="860">
      <c r="B860" s="4" t="n"/>
    </row>
    <row r="861">
      <c r="B861" s="4" t="n"/>
    </row>
    <row r="862">
      <c r="B862" s="4" t="n"/>
    </row>
    <row r="863">
      <c r="B863" s="4" t="n"/>
    </row>
    <row r="864">
      <c r="B864" s="4" t="n"/>
    </row>
    <row r="865">
      <c r="B865" s="4" t="n"/>
    </row>
    <row r="866">
      <c r="B866" s="4" t="n"/>
    </row>
    <row r="867">
      <c r="B867" s="4" t="n"/>
    </row>
    <row r="868">
      <c r="B868" s="4" t="n"/>
    </row>
    <row r="869">
      <c r="B869" s="4" t="n"/>
    </row>
    <row r="870">
      <c r="B870" s="4" t="n"/>
    </row>
    <row r="871">
      <c r="B871" s="4" t="n"/>
    </row>
    <row r="872">
      <c r="B872" s="4" t="n"/>
    </row>
    <row r="873">
      <c r="B873" s="4" t="n"/>
    </row>
    <row r="874">
      <c r="B874" s="4" t="n"/>
    </row>
    <row r="875">
      <c r="B875" s="4" t="n"/>
    </row>
    <row r="876">
      <c r="B876" s="4" t="n"/>
    </row>
    <row r="877">
      <c r="B877" s="4" t="n"/>
    </row>
    <row r="878">
      <c r="B878" s="4" t="n"/>
    </row>
    <row r="879">
      <c r="B879" s="4" t="n"/>
    </row>
    <row r="880">
      <c r="B880" s="4" t="n"/>
    </row>
    <row r="881">
      <c r="B881" s="4" t="n"/>
    </row>
    <row r="882">
      <c r="B882" s="4" t="n"/>
    </row>
    <row r="883">
      <c r="B883" s="4" t="n"/>
    </row>
    <row r="884">
      <c r="B884" s="4" t="n"/>
    </row>
    <row r="885">
      <c r="B885" s="4" t="n"/>
    </row>
    <row r="886">
      <c r="B886" s="4" t="n"/>
    </row>
    <row r="887">
      <c r="B887" s="4" t="n"/>
    </row>
    <row r="888">
      <c r="B888" s="4" t="n"/>
    </row>
    <row r="889">
      <c r="B889" s="4" t="n"/>
    </row>
    <row r="890">
      <c r="B890" s="4" t="n"/>
    </row>
    <row r="891">
      <c r="B891" s="4" t="n"/>
    </row>
    <row r="892">
      <c r="B892" s="4" t="n"/>
    </row>
    <row r="893">
      <c r="B893" s="4" t="n"/>
    </row>
    <row r="894">
      <c r="B894" s="4" t="n"/>
    </row>
    <row r="895">
      <c r="B895" s="4" t="n"/>
    </row>
    <row r="896">
      <c r="B896" s="4" t="n"/>
    </row>
    <row r="897">
      <c r="B897" s="4" t="n"/>
    </row>
    <row r="898">
      <c r="B898" s="4" t="n"/>
    </row>
    <row r="899">
      <c r="B899" s="4" t="n"/>
    </row>
    <row r="900">
      <c r="B900" s="4" t="n"/>
    </row>
    <row r="901">
      <c r="B901" s="4" t="n"/>
    </row>
    <row r="902">
      <c r="B902" s="4" t="n"/>
    </row>
    <row r="903">
      <c r="B903" s="4" t="n"/>
    </row>
    <row r="904">
      <c r="B904" s="4" t="n"/>
    </row>
    <row r="905">
      <c r="B905" s="4" t="n"/>
    </row>
    <row r="906">
      <c r="B906" s="4" t="n"/>
    </row>
    <row r="907">
      <c r="B907" s="4" t="n"/>
    </row>
    <row r="908">
      <c r="B908" s="4" t="n"/>
    </row>
    <row r="909">
      <c r="B909" s="4" t="n"/>
    </row>
    <row r="910">
      <c r="B910" s="4" t="n"/>
    </row>
    <row r="911">
      <c r="B911" s="4" t="n"/>
    </row>
    <row r="912">
      <c r="B912" s="4" t="n"/>
    </row>
    <row r="913">
      <c r="B913" s="4" t="n"/>
    </row>
    <row r="914">
      <c r="B914" s="4" t="n"/>
    </row>
    <row r="915">
      <c r="B915" s="4" t="n"/>
    </row>
    <row r="916">
      <c r="B916" s="4" t="n"/>
    </row>
    <row r="917">
      <c r="B917" s="4" t="n"/>
    </row>
    <row r="918">
      <c r="B918" s="4" t="n"/>
    </row>
    <row r="919">
      <c r="B919" s="4" t="n"/>
    </row>
    <row r="920">
      <c r="B920" s="4" t="n"/>
    </row>
    <row r="921">
      <c r="B921" s="4" t="n"/>
    </row>
    <row r="922">
      <c r="B922" s="4" t="n"/>
    </row>
    <row r="923">
      <c r="B923" s="4" t="n"/>
    </row>
    <row r="924">
      <c r="B924" s="4" t="n"/>
    </row>
    <row r="925">
      <c r="B925" s="4" t="n"/>
    </row>
    <row r="926">
      <c r="B926" s="4" t="n"/>
    </row>
    <row r="927">
      <c r="B927" s="4" t="n"/>
    </row>
    <row r="928">
      <c r="B928" s="4" t="n"/>
    </row>
    <row r="929">
      <c r="B929" s="4" t="n"/>
    </row>
    <row r="930">
      <c r="B930" s="4" t="n"/>
    </row>
    <row r="931">
      <c r="B931" s="4" t="n"/>
    </row>
    <row r="932">
      <c r="B932" s="4" t="n"/>
    </row>
    <row r="933">
      <c r="B933" s="4" t="n"/>
    </row>
    <row r="934">
      <c r="B934" s="4" t="n"/>
    </row>
    <row r="935">
      <c r="B935" s="4" t="n"/>
    </row>
    <row r="936">
      <c r="B936" s="4" t="n"/>
    </row>
    <row r="937">
      <c r="B937" s="4" t="n"/>
    </row>
    <row r="938">
      <c r="B938" s="4" t="n"/>
    </row>
    <row r="939">
      <c r="B939" s="4" t="n"/>
    </row>
    <row r="940">
      <c r="B940" s="4" t="n"/>
    </row>
    <row r="941">
      <c r="B941" s="4" t="n"/>
    </row>
    <row r="942">
      <c r="B942" s="4" t="n"/>
    </row>
    <row r="943">
      <c r="B943" s="4" t="n"/>
    </row>
    <row r="944">
      <c r="B944" s="4" t="n"/>
    </row>
    <row r="945">
      <c r="B945" s="4" t="n"/>
    </row>
    <row r="946">
      <c r="B946" s="4" t="n"/>
    </row>
    <row r="947">
      <c r="B947" s="4" t="n"/>
    </row>
    <row r="948">
      <c r="B948" s="4" t="n"/>
    </row>
    <row r="949">
      <c r="B949" s="4" t="n"/>
    </row>
    <row r="950">
      <c r="B950" s="4" t="n"/>
    </row>
    <row r="951">
      <c r="B951" s="4" t="n"/>
    </row>
    <row r="952">
      <c r="B952" s="4" t="n"/>
    </row>
    <row r="953">
      <c r="B953" s="4" t="n"/>
    </row>
    <row r="954">
      <c r="B954" s="4" t="n"/>
    </row>
    <row r="955">
      <c r="B955" s="4" t="n"/>
    </row>
    <row r="956">
      <c r="B956" s="4" t="n"/>
    </row>
    <row r="957">
      <c r="B957" s="4" t="n"/>
    </row>
    <row r="958">
      <c r="B958" s="4" t="n"/>
    </row>
    <row r="959">
      <c r="B959" s="4" t="n"/>
    </row>
    <row r="960">
      <c r="B960" s="4" t="n"/>
    </row>
    <row r="961">
      <c r="B961" s="4" t="n"/>
    </row>
    <row r="962">
      <c r="B962" s="4" t="n"/>
    </row>
    <row r="963">
      <c r="B963" s="4" t="n"/>
    </row>
    <row r="964">
      <c r="B964" s="4" t="n"/>
    </row>
    <row r="965">
      <c r="B965" s="4" t="n"/>
    </row>
    <row r="966">
      <c r="B966" s="4" t="n"/>
    </row>
    <row r="967">
      <c r="B967" s="4" t="n"/>
    </row>
    <row r="968">
      <c r="B968" s="4" t="n"/>
    </row>
    <row r="969">
      <c r="B969" s="4" t="n"/>
    </row>
    <row r="970">
      <c r="B970" s="4" t="n"/>
    </row>
    <row r="971">
      <c r="B971" s="4" t="n"/>
    </row>
    <row r="972">
      <c r="B972" s="4" t="n"/>
    </row>
    <row r="973">
      <c r="B973" s="4" t="n"/>
    </row>
    <row r="974">
      <c r="B974" s="4" t="n"/>
    </row>
    <row r="975">
      <c r="B975" s="4" t="n"/>
    </row>
    <row r="976">
      <c r="B976" s="4" t="n"/>
    </row>
    <row r="977">
      <c r="B977" s="4" t="n"/>
    </row>
    <row r="978">
      <c r="B978" s="4" t="n"/>
    </row>
    <row r="979">
      <c r="B979" s="4" t="n"/>
    </row>
    <row r="980">
      <c r="B980" s="4" t="n"/>
    </row>
    <row r="981">
      <c r="B981" s="4" t="n"/>
    </row>
    <row r="982">
      <c r="B982" s="4" t="n"/>
    </row>
    <row r="983">
      <c r="B983" s="4" t="n"/>
    </row>
    <row r="984">
      <c r="B984" s="4" t="n"/>
    </row>
    <row r="985">
      <c r="B985" s="4" t="n"/>
    </row>
    <row r="986">
      <c r="B986" s="4" t="n"/>
    </row>
    <row r="987">
      <c r="B987" s="4" t="n"/>
    </row>
    <row r="988">
      <c r="B988" s="4" t="n"/>
    </row>
    <row r="989">
      <c r="B989" s="4" t="n"/>
    </row>
    <row r="990">
      <c r="B990" s="4" t="n"/>
    </row>
    <row r="991">
      <c r="B991" s="4" t="n"/>
    </row>
    <row r="992">
      <c r="B992" s="4" t="n"/>
    </row>
    <row r="993">
      <c r="B993" s="4" t="n"/>
    </row>
    <row r="994">
      <c r="B994" s="4" t="n"/>
    </row>
    <row r="995">
      <c r="B995" s="4" t="n"/>
    </row>
    <row r="996">
      <c r="B996" s="4" t="n"/>
    </row>
    <row r="997">
      <c r="B997" s="4" t="n"/>
    </row>
    <row r="998">
      <c r="B998" s="4" t="n"/>
    </row>
    <row r="999">
      <c r="B999" s="4" t="n"/>
    </row>
    <row r="1000">
      <c r="B1000" s="4" t="n"/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1000"/>
  <sheetViews>
    <sheetView workbookViewId="0">
      <selection activeCell="A1" sqref="A1"/>
    </sheetView>
  </sheetViews>
  <sheetFormatPr baseColWidth="8" customHeight="1" defaultColWidth="12.63" defaultRowHeight="15.75"/>
  <sheetData>
    <row r="1">
      <c r="A1" s="1" t="inlineStr">
        <is>
          <t xml:space="preserve"> 타입</t>
        </is>
      </c>
      <c r="B1" s="1" t="inlineStr">
        <is>
          <t>분양가</t>
        </is>
      </c>
    </row>
    <row r="2">
      <c r="A2" s="1" t="n">
        <v>66</v>
      </c>
      <c r="B2" s="4" t="n">
        <v>1974000000</v>
      </c>
    </row>
    <row r="3">
      <c r="A3" s="1" t="n">
        <v>74</v>
      </c>
      <c r="B3" s="4" t="n">
        <v>2318000000</v>
      </c>
    </row>
    <row r="4">
      <c r="A4" s="1" t="inlineStr">
        <is>
          <t>84A</t>
        </is>
      </c>
      <c r="B4" s="4" t="n">
        <v>2532000000</v>
      </c>
    </row>
    <row r="5">
      <c r="A5" s="1" t="inlineStr">
        <is>
          <t>84A1-1</t>
        </is>
      </c>
      <c r="B5" s="4" t="n">
        <v>2509000000</v>
      </c>
    </row>
    <row r="6">
      <c r="A6" s="1" t="inlineStr">
        <is>
          <t>84A1-5</t>
        </is>
      </c>
      <c r="B6" s="4" t="n">
        <v>2502000000</v>
      </c>
    </row>
    <row r="7">
      <c r="A7" s="1" t="inlineStr">
        <is>
          <t>84A4-1</t>
        </is>
      </c>
      <c r="B7" s="4" t="n">
        <v>2567000000</v>
      </c>
    </row>
    <row r="8">
      <c r="A8" s="1" t="inlineStr">
        <is>
          <t>84A4-2</t>
        </is>
      </c>
      <c r="B8" s="4" t="n">
        <v>2670000000</v>
      </c>
    </row>
    <row r="9">
      <c r="A9" s="1" t="inlineStr">
        <is>
          <t>84A6</t>
        </is>
      </c>
      <c r="B9" s="4" t="n">
        <v>2684000000</v>
      </c>
    </row>
    <row r="10">
      <c r="B10" s="4" t="n"/>
    </row>
    <row r="11">
      <c r="B11" s="4" t="n"/>
    </row>
    <row r="12">
      <c r="B12" s="4" t="n"/>
    </row>
    <row r="13">
      <c r="B13" s="4" t="n"/>
    </row>
    <row r="14">
      <c r="B14" s="4" t="n"/>
    </row>
    <row r="15">
      <c r="B15" s="4" t="n"/>
    </row>
    <row r="16">
      <c r="B16" s="4" t="n"/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  <row r="30">
      <c r="B30" s="4" t="n"/>
    </row>
    <row r="31">
      <c r="B31" s="4" t="n"/>
    </row>
    <row r="32">
      <c r="B32" s="4" t="n"/>
    </row>
    <row r="33">
      <c r="B33" s="4" t="n"/>
    </row>
    <row r="34">
      <c r="B34" s="4" t="n"/>
    </row>
    <row r="35">
      <c r="B35" s="4" t="n"/>
    </row>
    <row r="36">
      <c r="B36" s="4" t="n"/>
    </row>
    <row r="37">
      <c r="B37" s="4" t="n"/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  <row r="201">
      <c r="B201" s="4" t="n"/>
    </row>
    <row r="202">
      <c r="B202" s="4" t="n"/>
    </row>
    <row r="203">
      <c r="B203" s="4" t="n"/>
    </row>
    <row r="204">
      <c r="B204" s="4" t="n"/>
    </row>
    <row r="205">
      <c r="B205" s="4" t="n"/>
    </row>
    <row r="206">
      <c r="B206" s="4" t="n"/>
    </row>
    <row r="207">
      <c r="B207" s="4" t="n"/>
    </row>
    <row r="208">
      <c r="B208" s="4" t="n"/>
    </row>
    <row r="209">
      <c r="B209" s="4" t="n"/>
    </row>
    <row r="210">
      <c r="B210" s="4" t="n"/>
    </row>
    <row r="211">
      <c r="B211" s="4" t="n"/>
    </row>
    <row r="212">
      <c r="B212" s="4" t="n"/>
    </row>
    <row r="213">
      <c r="B213" s="4" t="n"/>
    </row>
    <row r="214">
      <c r="B214" s="4" t="n"/>
    </row>
    <row r="215">
      <c r="B215" s="4" t="n"/>
    </row>
    <row r="216">
      <c r="B216" s="4" t="n"/>
    </row>
    <row r="217">
      <c r="B217" s="4" t="n"/>
    </row>
    <row r="218">
      <c r="B218" s="4" t="n"/>
    </row>
    <row r="219">
      <c r="B219" s="4" t="n"/>
    </row>
    <row r="220">
      <c r="B220" s="4" t="n"/>
    </row>
    <row r="221">
      <c r="B221" s="4" t="n"/>
    </row>
    <row r="222">
      <c r="B222" s="4" t="n"/>
    </row>
    <row r="223">
      <c r="B223" s="4" t="n"/>
    </row>
    <row r="224">
      <c r="B224" s="4" t="n"/>
    </row>
    <row r="225">
      <c r="B225" s="4" t="n"/>
    </row>
    <row r="226">
      <c r="B226" s="4" t="n"/>
    </row>
    <row r="227">
      <c r="B227" s="4" t="n"/>
    </row>
    <row r="228">
      <c r="B228" s="4" t="n"/>
    </row>
    <row r="229">
      <c r="B229" s="4" t="n"/>
    </row>
    <row r="230">
      <c r="B230" s="4" t="n"/>
    </row>
    <row r="231">
      <c r="B231" s="4" t="n"/>
    </row>
    <row r="232">
      <c r="B232" s="4" t="n"/>
    </row>
    <row r="233">
      <c r="B233" s="4" t="n"/>
    </row>
    <row r="234">
      <c r="B234" s="4" t="n"/>
    </row>
    <row r="235">
      <c r="B235" s="4" t="n"/>
    </row>
    <row r="236">
      <c r="B236" s="4" t="n"/>
    </row>
    <row r="237">
      <c r="B237" s="4" t="n"/>
    </row>
    <row r="238">
      <c r="B238" s="4" t="n"/>
    </row>
    <row r="239">
      <c r="B239" s="4" t="n"/>
    </row>
    <row r="240">
      <c r="B240" s="4" t="n"/>
    </row>
    <row r="241">
      <c r="B241" s="4" t="n"/>
    </row>
    <row r="242">
      <c r="B242" s="4" t="n"/>
    </row>
    <row r="243">
      <c r="B243" s="4" t="n"/>
    </row>
    <row r="244">
      <c r="B244" s="4" t="n"/>
    </row>
    <row r="245">
      <c r="B245" s="4" t="n"/>
    </row>
    <row r="246">
      <c r="B246" s="4" t="n"/>
    </row>
    <row r="247">
      <c r="B247" s="4" t="n"/>
    </row>
    <row r="248">
      <c r="B248" s="4" t="n"/>
    </row>
    <row r="249">
      <c r="B249" s="4" t="n"/>
    </row>
    <row r="250">
      <c r="B250" s="4" t="n"/>
    </row>
    <row r="251">
      <c r="B251" s="4" t="n"/>
    </row>
    <row r="252">
      <c r="B252" s="4" t="n"/>
    </row>
    <row r="253">
      <c r="B253" s="4" t="n"/>
    </row>
    <row r="254">
      <c r="B254" s="4" t="n"/>
    </row>
    <row r="255">
      <c r="B255" s="4" t="n"/>
    </row>
    <row r="256">
      <c r="B256" s="4" t="n"/>
    </row>
    <row r="257">
      <c r="B257" s="4" t="n"/>
    </row>
    <row r="258">
      <c r="B258" s="4" t="n"/>
    </row>
    <row r="259">
      <c r="B259" s="4" t="n"/>
    </row>
    <row r="260">
      <c r="B260" s="4" t="n"/>
    </row>
    <row r="261">
      <c r="B261" s="4" t="n"/>
    </row>
    <row r="262">
      <c r="B262" s="4" t="n"/>
    </row>
    <row r="263">
      <c r="B263" s="4" t="n"/>
    </row>
    <row r="264">
      <c r="B264" s="4" t="n"/>
    </row>
    <row r="265">
      <c r="B265" s="4" t="n"/>
    </row>
    <row r="266">
      <c r="B266" s="4" t="n"/>
    </row>
    <row r="267">
      <c r="B267" s="4" t="n"/>
    </row>
    <row r="268">
      <c r="B268" s="4" t="n"/>
    </row>
    <row r="269">
      <c r="B269" s="4" t="n"/>
    </row>
    <row r="270">
      <c r="B270" s="4" t="n"/>
    </row>
    <row r="271">
      <c r="B271" s="4" t="n"/>
    </row>
    <row r="272">
      <c r="B272" s="4" t="n"/>
    </row>
    <row r="273">
      <c r="B273" s="4" t="n"/>
    </row>
    <row r="274">
      <c r="B274" s="4" t="n"/>
    </row>
    <row r="275">
      <c r="B275" s="4" t="n"/>
    </row>
    <row r="276">
      <c r="B276" s="4" t="n"/>
    </row>
    <row r="277">
      <c r="B277" s="4" t="n"/>
    </row>
    <row r="278">
      <c r="B278" s="4" t="n"/>
    </row>
    <row r="279">
      <c r="B279" s="4" t="n"/>
    </row>
    <row r="280">
      <c r="B280" s="4" t="n"/>
    </row>
    <row r="281">
      <c r="B281" s="4" t="n"/>
    </row>
    <row r="282">
      <c r="B282" s="4" t="n"/>
    </row>
    <row r="283">
      <c r="B283" s="4" t="n"/>
    </row>
    <row r="284">
      <c r="B284" s="4" t="n"/>
    </row>
    <row r="285">
      <c r="B285" s="4" t="n"/>
    </row>
    <row r="286">
      <c r="B286" s="4" t="n"/>
    </row>
    <row r="287">
      <c r="B287" s="4" t="n"/>
    </row>
    <row r="288">
      <c r="B288" s="4" t="n"/>
    </row>
    <row r="289">
      <c r="B289" s="4" t="n"/>
    </row>
    <row r="290">
      <c r="B290" s="4" t="n"/>
    </row>
    <row r="291">
      <c r="B291" s="4" t="n"/>
    </row>
    <row r="292">
      <c r="B292" s="4" t="n"/>
    </row>
    <row r="293">
      <c r="B293" s="4" t="n"/>
    </row>
    <row r="294">
      <c r="B294" s="4" t="n"/>
    </row>
    <row r="295">
      <c r="B295" s="4" t="n"/>
    </row>
    <row r="296">
      <c r="B296" s="4" t="n"/>
    </row>
    <row r="297">
      <c r="B297" s="4" t="n"/>
    </row>
    <row r="298">
      <c r="B298" s="4" t="n"/>
    </row>
    <row r="299">
      <c r="B299" s="4" t="n"/>
    </row>
    <row r="300">
      <c r="B300" s="4" t="n"/>
    </row>
    <row r="301">
      <c r="B301" s="4" t="n"/>
    </row>
    <row r="302">
      <c r="B302" s="4" t="n"/>
    </row>
    <row r="303">
      <c r="B303" s="4" t="n"/>
    </row>
    <row r="304">
      <c r="B304" s="4" t="n"/>
    </row>
    <row r="305">
      <c r="B305" s="4" t="n"/>
    </row>
    <row r="306">
      <c r="B306" s="4" t="n"/>
    </row>
    <row r="307">
      <c r="B307" s="4" t="n"/>
    </row>
    <row r="308">
      <c r="B308" s="4" t="n"/>
    </row>
    <row r="309">
      <c r="B309" s="4" t="n"/>
    </row>
    <row r="310">
      <c r="B310" s="4" t="n"/>
    </row>
    <row r="311">
      <c r="B311" s="4" t="n"/>
    </row>
    <row r="312">
      <c r="B312" s="4" t="n"/>
    </row>
    <row r="313">
      <c r="B313" s="4" t="n"/>
    </row>
    <row r="314">
      <c r="B314" s="4" t="n"/>
    </row>
    <row r="315">
      <c r="B315" s="4" t="n"/>
    </row>
    <row r="316">
      <c r="B316" s="4" t="n"/>
    </row>
    <row r="317">
      <c r="B317" s="4" t="n"/>
    </row>
    <row r="318">
      <c r="B318" s="4" t="n"/>
    </row>
    <row r="319">
      <c r="B319" s="4" t="n"/>
    </row>
    <row r="320">
      <c r="B320" s="4" t="n"/>
    </row>
    <row r="321">
      <c r="B321" s="4" t="n"/>
    </row>
    <row r="322">
      <c r="B322" s="4" t="n"/>
    </row>
    <row r="323">
      <c r="B323" s="4" t="n"/>
    </row>
    <row r="324">
      <c r="B324" s="4" t="n"/>
    </row>
    <row r="325">
      <c r="B325" s="4" t="n"/>
    </row>
    <row r="326">
      <c r="B326" s="4" t="n"/>
    </row>
    <row r="327">
      <c r="B327" s="4" t="n"/>
    </row>
    <row r="328">
      <c r="B328" s="4" t="n"/>
    </row>
    <row r="329">
      <c r="B329" s="4" t="n"/>
    </row>
    <row r="330">
      <c r="B330" s="4" t="n"/>
    </row>
    <row r="331">
      <c r="B331" s="4" t="n"/>
    </row>
    <row r="332">
      <c r="B332" s="4" t="n"/>
    </row>
    <row r="333">
      <c r="B333" s="4" t="n"/>
    </row>
    <row r="334">
      <c r="B334" s="4" t="n"/>
    </row>
    <row r="335">
      <c r="B335" s="4" t="n"/>
    </row>
    <row r="336">
      <c r="B336" s="4" t="n"/>
    </row>
    <row r="337">
      <c r="B337" s="4" t="n"/>
    </row>
    <row r="338">
      <c r="B338" s="4" t="n"/>
    </row>
    <row r="339">
      <c r="B339" s="4" t="n"/>
    </row>
    <row r="340">
      <c r="B340" s="4" t="n"/>
    </row>
    <row r="341">
      <c r="B341" s="4" t="n"/>
    </row>
    <row r="342">
      <c r="B342" s="4" t="n"/>
    </row>
    <row r="343">
      <c r="B343" s="4" t="n"/>
    </row>
    <row r="344">
      <c r="B344" s="4" t="n"/>
    </row>
    <row r="345">
      <c r="B345" s="4" t="n"/>
    </row>
    <row r="346">
      <c r="B346" s="4" t="n"/>
    </row>
    <row r="347">
      <c r="B347" s="4" t="n"/>
    </row>
    <row r="348">
      <c r="B348" s="4" t="n"/>
    </row>
    <row r="349">
      <c r="B349" s="4" t="n"/>
    </row>
    <row r="350">
      <c r="B350" s="4" t="n"/>
    </row>
    <row r="351">
      <c r="B351" s="4" t="n"/>
    </row>
    <row r="352">
      <c r="B352" s="4" t="n"/>
    </row>
    <row r="353">
      <c r="B353" s="4" t="n"/>
    </row>
    <row r="354">
      <c r="B354" s="4" t="n"/>
    </row>
    <row r="355">
      <c r="B355" s="4" t="n"/>
    </row>
    <row r="356">
      <c r="B356" s="4" t="n"/>
    </row>
    <row r="357">
      <c r="B357" s="4" t="n"/>
    </row>
    <row r="358">
      <c r="B358" s="4" t="n"/>
    </row>
    <row r="359">
      <c r="B359" s="4" t="n"/>
    </row>
    <row r="360">
      <c r="B360" s="4" t="n"/>
    </row>
    <row r="361">
      <c r="B361" s="4" t="n"/>
    </row>
    <row r="362">
      <c r="B362" s="4" t="n"/>
    </row>
    <row r="363">
      <c r="B363" s="4" t="n"/>
    </row>
    <row r="364">
      <c r="B364" s="4" t="n"/>
    </row>
    <row r="365">
      <c r="B365" s="4" t="n"/>
    </row>
    <row r="366">
      <c r="B366" s="4" t="n"/>
    </row>
    <row r="367">
      <c r="B367" s="4" t="n"/>
    </row>
    <row r="368">
      <c r="B368" s="4" t="n"/>
    </row>
    <row r="369">
      <c r="B369" s="4" t="n"/>
    </row>
    <row r="370">
      <c r="B370" s="4" t="n"/>
    </row>
    <row r="371">
      <c r="B371" s="4" t="n"/>
    </row>
    <row r="372">
      <c r="B372" s="4" t="n"/>
    </row>
    <row r="373">
      <c r="B373" s="4" t="n"/>
    </row>
    <row r="374">
      <c r="B374" s="4" t="n"/>
    </row>
    <row r="375">
      <c r="B375" s="4" t="n"/>
    </row>
    <row r="376">
      <c r="B376" s="4" t="n"/>
    </row>
    <row r="377">
      <c r="B377" s="4" t="n"/>
    </row>
    <row r="378">
      <c r="B378" s="4" t="n"/>
    </row>
    <row r="379">
      <c r="B379" s="4" t="n"/>
    </row>
    <row r="380">
      <c r="B380" s="4" t="n"/>
    </row>
    <row r="381">
      <c r="B381" s="4" t="n"/>
    </row>
    <row r="382">
      <c r="B382" s="4" t="n"/>
    </row>
    <row r="383">
      <c r="B383" s="4" t="n"/>
    </row>
    <row r="384">
      <c r="B384" s="4" t="n"/>
    </row>
    <row r="385">
      <c r="B385" s="4" t="n"/>
    </row>
    <row r="386">
      <c r="B386" s="4" t="n"/>
    </row>
    <row r="387">
      <c r="B387" s="4" t="n"/>
    </row>
    <row r="388">
      <c r="B388" s="4" t="n"/>
    </row>
    <row r="389">
      <c r="B389" s="4" t="n"/>
    </row>
    <row r="390">
      <c r="B390" s="4" t="n"/>
    </row>
    <row r="391">
      <c r="B391" s="4" t="n"/>
    </row>
    <row r="392">
      <c r="B392" s="4" t="n"/>
    </row>
    <row r="393">
      <c r="B393" s="4" t="n"/>
    </row>
    <row r="394">
      <c r="B394" s="4" t="n"/>
    </row>
    <row r="395">
      <c r="B395" s="4" t="n"/>
    </row>
    <row r="396">
      <c r="B396" s="4" t="n"/>
    </row>
    <row r="397">
      <c r="B397" s="4" t="n"/>
    </row>
    <row r="398">
      <c r="B398" s="4" t="n"/>
    </row>
    <row r="399">
      <c r="B399" s="4" t="n"/>
    </row>
    <row r="400">
      <c r="B400" s="4" t="n"/>
    </row>
    <row r="401">
      <c r="B401" s="4" t="n"/>
    </row>
    <row r="402">
      <c r="B402" s="4" t="n"/>
    </row>
    <row r="403">
      <c r="B403" s="4" t="n"/>
    </row>
    <row r="404">
      <c r="B404" s="4" t="n"/>
    </row>
    <row r="405">
      <c r="B405" s="4" t="n"/>
    </row>
    <row r="406">
      <c r="B406" s="4" t="n"/>
    </row>
    <row r="407">
      <c r="B407" s="4" t="n"/>
    </row>
    <row r="408">
      <c r="B408" s="4" t="n"/>
    </row>
    <row r="409">
      <c r="B409" s="4" t="n"/>
    </row>
    <row r="410">
      <c r="B410" s="4" t="n"/>
    </row>
    <row r="411">
      <c r="B411" s="4" t="n"/>
    </row>
    <row r="412">
      <c r="B412" s="4" t="n"/>
    </row>
    <row r="413">
      <c r="B413" s="4" t="n"/>
    </row>
    <row r="414">
      <c r="B414" s="4" t="n"/>
    </row>
    <row r="415">
      <c r="B415" s="4" t="n"/>
    </row>
    <row r="416">
      <c r="B416" s="4" t="n"/>
    </row>
    <row r="417">
      <c r="B417" s="4" t="n"/>
    </row>
    <row r="418">
      <c r="B418" s="4" t="n"/>
    </row>
    <row r="419">
      <c r="B419" s="4" t="n"/>
    </row>
    <row r="420">
      <c r="B420" s="4" t="n"/>
    </row>
    <row r="421">
      <c r="B421" s="4" t="n"/>
    </row>
    <row r="422">
      <c r="B422" s="4" t="n"/>
    </row>
    <row r="423">
      <c r="B423" s="4" t="n"/>
    </row>
    <row r="424">
      <c r="B424" s="4" t="n"/>
    </row>
    <row r="425">
      <c r="B425" s="4" t="n"/>
    </row>
    <row r="426">
      <c r="B426" s="4" t="n"/>
    </row>
    <row r="427">
      <c r="B427" s="4" t="n"/>
    </row>
    <row r="428">
      <c r="B428" s="4" t="n"/>
    </row>
    <row r="429">
      <c r="B429" s="4" t="n"/>
    </row>
    <row r="430">
      <c r="B430" s="4" t="n"/>
    </row>
    <row r="431">
      <c r="B431" s="4" t="n"/>
    </row>
    <row r="432">
      <c r="B432" s="4" t="n"/>
    </row>
    <row r="433">
      <c r="B433" s="4" t="n"/>
    </row>
    <row r="434">
      <c r="B434" s="4" t="n"/>
    </row>
    <row r="435">
      <c r="B435" s="4" t="n"/>
    </row>
    <row r="436">
      <c r="B436" s="4" t="n"/>
    </row>
    <row r="437">
      <c r="B437" s="4" t="n"/>
    </row>
    <row r="438">
      <c r="B438" s="4" t="n"/>
    </row>
    <row r="439">
      <c r="B439" s="4" t="n"/>
    </row>
    <row r="440">
      <c r="B440" s="4" t="n"/>
    </row>
    <row r="441">
      <c r="B441" s="4" t="n"/>
    </row>
    <row r="442">
      <c r="B442" s="4" t="n"/>
    </row>
    <row r="443">
      <c r="B443" s="4" t="n"/>
    </row>
    <row r="444">
      <c r="B444" s="4" t="n"/>
    </row>
    <row r="445">
      <c r="B445" s="4" t="n"/>
    </row>
    <row r="446">
      <c r="B446" s="4" t="n"/>
    </row>
    <row r="447">
      <c r="B447" s="4" t="n"/>
    </row>
    <row r="448">
      <c r="B448" s="4" t="n"/>
    </row>
    <row r="449">
      <c r="B449" s="4" t="n"/>
    </row>
    <row r="450">
      <c r="B450" s="4" t="n"/>
    </row>
    <row r="451">
      <c r="B451" s="4" t="n"/>
    </row>
    <row r="452">
      <c r="B452" s="4" t="n"/>
    </row>
    <row r="453">
      <c r="B453" s="4" t="n"/>
    </row>
    <row r="454">
      <c r="B454" s="4" t="n"/>
    </row>
    <row r="455">
      <c r="B455" s="4" t="n"/>
    </row>
    <row r="456">
      <c r="B456" s="4" t="n"/>
    </row>
    <row r="457">
      <c r="B457" s="4" t="n"/>
    </row>
    <row r="458">
      <c r="B458" s="4" t="n"/>
    </row>
    <row r="459">
      <c r="B459" s="4" t="n"/>
    </row>
    <row r="460">
      <c r="B460" s="4" t="n"/>
    </row>
    <row r="461">
      <c r="B461" s="4" t="n"/>
    </row>
    <row r="462">
      <c r="B462" s="4" t="n"/>
    </row>
    <row r="463">
      <c r="B463" s="4" t="n"/>
    </row>
    <row r="464">
      <c r="B464" s="4" t="n"/>
    </row>
    <row r="465">
      <c r="B465" s="4" t="n"/>
    </row>
    <row r="466">
      <c r="B466" s="4" t="n"/>
    </row>
    <row r="467">
      <c r="B467" s="4" t="n"/>
    </row>
    <row r="468">
      <c r="B468" s="4" t="n"/>
    </row>
    <row r="469">
      <c r="B469" s="4" t="n"/>
    </row>
    <row r="470">
      <c r="B470" s="4" t="n"/>
    </row>
    <row r="471">
      <c r="B471" s="4" t="n"/>
    </row>
    <row r="472">
      <c r="B472" s="4" t="n"/>
    </row>
    <row r="473">
      <c r="B473" s="4" t="n"/>
    </row>
    <row r="474">
      <c r="B474" s="4" t="n"/>
    </row>
    <row r="475">
      <c r="B475" s="4" t="n"/>
    </row>
    <row r="476">
      <c r="B476" s="4" t="n"/>
    </row>
    <row r="477">
      <c r="B477" s="4" t="n"/>
    </row>
    <row r="478">
      <c r="B478" s="4" t="n"/>
    </row>
    <row r="479">
      <c r="B479" s="4" t="n"/>
    </row>
    <row r="480">
      <c r="B480" s="4" t="n"/>
    </row>
    <row r="481">
      <c r="B481" s="4" t="n"/>
    </row>
    <row r="482">
      <c r="B482" s="4" t="n"/>
    </row>
    <row r="483">
      <c r="B483" s="4" t="n"/>
    </row>
    <row r="484">
      <c r="B484" s="4" t="n"/>
    </row>
    <row r="485">
      <c r="B485" s="4" t="n"/>
    </row>
    <row r="486">
      <c r="B486" s="4" t="n"/>
    </row>
    <row r="487">
      <c r="B487" s="4" t="n"/>
    </row>
    <row r="488">
      <c r="B488" s="4" t="n"/>
    </row>
    <row r="489">
      <c r="B489" s="4" t="n"/>
    </row>
    <row r="490">
      <c r="B490" s="4" t="n"/>
    </row>
    <row r="491">
      <c r="B491" s="4" t="n"/>
    </row>
    <row r="492">
      <c r="B492" s="4" t="n"/>
    </row>
    <row r="493">
      <c r="B493" s="4" t="n"/>
    </row>
    <row r="494">
      <c r="B494" s="4" t="n"/>
    </row>
    <row r="495">
      <c r="B495" s="4" t="n"/>
    </row>
    <row r="496">
      <c r="B496" s="4" t="n"/>
    </row>
    <row r="497">
      <c r="B497" s="4" t="n"/>
    </row>
    <row r="498">
      <c r="B498" s="4" t="n"/>
    </row>
    <row r="499">
      <c r="B499" s="4" t="n"/>
    </row>
    <row r="500">
      <c r="B500" s="4" t="n"/>
    </row>
    <row r="501">
      <c r="B501" s="4" t="n"/>
    </row>
    <row r="502">
      <c r="B502" s="4" t="n"/>
    </row>
    <row r="503">
      <c r="B503" s="4" t="n"/>
    </row>
    <row r="504">
      <c r="B504" s="4" t="n"/>
    </row>
    <row r="505">
      <c r="B505" s="4" t="n"/>
    </row>
    <row r="506">
      <c r="B506" s="4" t="n"/>
    </row>
    <row r="507">
      <c r="B507" s="4" t="n"/>
    </row>
    <row r="508">
      <c r="B508" s="4" t="n"/>
    </row>
    <row r="509">
      <c r="B509" s="4" t="n"/>
    </row>
    <row r="510">
      <c r="B510" s="4" t="n"/>
    </row>
    <row r="511">
      <c r="B511" s="4" t="n"/>
    </row>
    <row r="512">
      <c r="B512" s="4" t="n"/>
    </row>
    <row r="513">
      <c r="B513" s="4" t="n"/>
    </row>
    <row r="514">
      <c r="B514" s="4" t="n"/>
    </row>
    <row r="515">
      <c r="B515" s="4" t="n"/>
    </row>
    <row r="516">
      <c r="B516" s="4" t="n"/>
    </row>
    <row r="517">
      <c r="B517" s="4" t="n"/>
    </row>
    <row r="518">
      <c r="B518" s="4" t="n"/>
    </row>
    <row r="519">
      <c r="B519" s="4" t="n"/>
    </row>
    <row r="520">
      <c r="B520" s="4" t="n"/>
    </row>
    <row r="521">
      <c r="B521" s="4" t="n"/>
    </row>
    <row r="522">
      <c r="B522" s="4" t="n"/>
    </row>
    <row r="523">
      <c r="B523" s="4" t="n"/>
    </row>
    <row r="524">
      <c r="B524" s="4" t="n"/>
    </row>
    <row r="525">
      <c r="B525" s="4" t="n"/>
    </row>
    <row r="526">
      <c r="B526" s="4" t="n"/>
    </row>
    <row r="527">
      <c r="B527" s="4" t="n"/>
    </row>
    <row r="528">
      <c r="B528" s="4" t="n"/>
    </row>
    <row r="529">
      <c r="B529" s="4" t="n"/>
    </row>
    <row r="530">
      <c r="B530" s="4" t="n"/>
    </row>
    <row r="531">
      <c r="B531" s="4" t="n"/>
    </row>
    <row r="532">
      <c r="B532" s="4" t="n"/>
    </row>
    <row r="533">
      <c r="B533" s="4" t="n"/>
    </row>
    <row r="534">
      <c r="B534" s="4" t="n"/>
    </row>
    <row r="535">
      <c r="B535" s="4" t="n"/>
    </row>
    <row r="536">
      <c r="B536" s="4" t="n"/>
    </row>
    <row r="537">
      <c r="B537" s="4" t="n"/>
    </row>
    <row r="538">
      <c r="B538" s="4" t="n"/>
    </row>
    <row r="539">
      <c r="B539" s="4" t="n"/>
    </row>
    <row r="540">
      <c r="B540" s="4" t="n"/>
    </row>
    <row r="541">
      <c r="B541" s="4" t="n"/>
    </row>
    <row r="542">
      <c r="B542" s="4" t="n"/>
    </row>
    <row r="543">
      <c r="B543" s="4" t="n"/>
    </row>
    <row r="544">
      <c r="B544" s="4" t="n"/>
    </row>
    <row r="545">
      <c r="B545" s="4" t="n"/>
    </row>
    <row r="546">
      <c r="B546" s="4" t="n"/>
    </row>
    <row r="547">
      <c r="B547" s="4" t="n"/>
    </row>
    <row r="548">
      <c r="B548" s="4" t="n"/>
    </row>
    <row r="549">
      <c r="B549" s="4" t="n"/>
    </row>
    <row r="550">
      <c r="B550" s="4" t="n"/>
    </row>
    <row r="551">
      <c r="B551" s="4" t="n"/>
    </row>
    <row r="552">
      <c r="B552" s="4" t="n"/>
    </row>
    <row r="553">
      <c r="B553" s="4" t="n"/>
    </row>
    <row r="554">
      <c r="B554" s="4" t="n"/>
    </row>
    <row r="555">
      <c r="B555" s="4" t="n"/>
    </row>
    <row r="556">
      <c r="B556" s="4" t="n"/>
    </row>
    <row r="557">
      <c r="B557" s="4" t="n"/>
    </row>
    <row r="558">
      <c r="B558" s="4" t="n"/>
    </row>
    <row r="559">
      <c r="B559" s="4" t="n"/>
    </row>
    <row r="560">
      <c r="B560" s="4" t="n"/>
    </row>
    <row r="561">
      <c r="B561" s="4" t="n"/>
    </row>
    <row r="562">
      <c r="B562" s="4" t="n"/>
    </row>
    <row r="563">
      <c r="B563" s="4" t="n"/>
    </row>
    <row r="564">
      <c r="B564" s="4" t="n"/>
    </row>
    <row r="565">
      <c r="B565" s="4" t="n"/>
    </row>
    <row r="566">
      <c r="B566" s="4" t="n"/>
    </row>
    <row r="567">
      <c r="B567" s="4" t="n"/>
    </row>
    <row r="568">
      <c r="B568" s="4" t="n"/>
    </row>
    <row r="569">
      <c r="B569" s="4" t="n"/>
    </row>
    <row r="570">
      <c r="B570" s="4" t="n"/>
    </row>
    <row r="571">
      <c r="B571" s="4" t="n"/>
    </row>
    <row r="572">
      <c r="B572" s="4" t="n"/>
    </row>
    <row r="573">
      <c r="B573" s="4" t="n"/>
    </row>
    <row r="574">
      <c r="B574" s="4" t="n"/>
    </row>
    <row r="575">
      <c r="B575" s="4" t="n"/>
    </row>
    <row r="576">
      <c r="B576" s="4" t="n"/>
    </row>
    <row r="577">
      <c r="B577" s="4" t="n"/>
    </row>
    <row r="578">
      <c r="B578" s="4" t="n"/>
    </row>
    <row r="579">
      <c r="B579" s="4" t="n"/>
    </row>
    <row r="580">
      <c r="B580" s="4" t="n"/>
    </row>
    <row r="581">
      <c r="B581" s="4" t="n"/>
    </row>
    <row r="582">
      <c r="B582" s="4" t="n"/>
    </row>
    <row r="583">
      <c r="B583" s="4" t="n"/>
    </row>
    <row r="584">
      <c r="B584" s="4" t="n"/>
    </row>
    <row r="585">
      <c r="B585" s="4" t="n"/>
    </row>
    <row r="586">
      <c r="B586" s="4" t="n"/>
    </row>
    <row r="587">
      <c r="B587" s="4" t="n"/>
    </row>
    <row r="588">
      <c r="B588" s="4" t="n"/>
    </row>
    <row r="589">
      <c r="B589" s="4" t="n"/>
    </row>
    <row r="590">
      <c r="B590" s="4" t="n"/>
    </row>
    <row r="591">
      <c r="B591" s="4" t="n"/>
    </row>
    <row r="592">
      <c r="B592" s="4" t="n"/>
    </row>
    <row r="593">
      <c r="B593" s="4" t="n"/>
    </row>
    <row r="594">
      <c r="B594" s="4" t="n"/>
    </row>
    <row r="595">
      <c r="B595" s="4" t="n"/>
    </row>
    <row r="596">
      <c r="B596" s="4" t="n"/>
    </row>
    <row r="597">
      <c r="B597" s="4" t="n"/>
    </row>
    <row r="598">
      <c r="B598" s="4" t="n"/>
    </row>
    <row r="599">
      <c r="B599" s="4" t="n"/>
    </row>
    <row r="600">
      <c r="B600" s="4" t="n"/>
    </row>
    <row r="601">
      <c r="B601" s="4" t="n"/>
    </row>
    <row r="602">
      <c r="B602" s="4" t="n"/>
    </row>
    <row r="603">
      <c r="B603" s="4" t="n"/>
    </row>
    <row r="604">
      <c r="B604" s="4" t="n"/>
    </row>
    <row r="605">
      <c r="B605" s="4" t="n"/>
    </row>
    <row r="606">
      <c r="B606" s="4" t="n"/>
    </row>
    <row r="607">
      <c r="B607" s="4" t="n"/>
    </row>
    <row r="608">
      <c r="B608" s="4" t="n"/>
    </row>
    <row r="609">
      <c r="B609" s="4" t="n"/>
    </row>
    <row r="610">
      <c r="B610" s="4" t="n"/>
    </row>
    <row r="611">
      <c r="B611" s="4" t="n"/>
    </row>
    <row r="612">
      <c r="B612" s="4" t="n"/>
    </row>
    <row r="613">
      <c r="B613" s="4" t="n"/>
    </row>
    <row r="614">
      <c r="B614" s="4" t="n"/>
    </row>
    <row r="615">
      <c r="B615" s="4" t="n"/>
    </row>
    <row r="616">
      <c r="B616" s="4" t="n"/>
    </row>
    <row r="617">
      <c r="B617" s="4" t="n"/>
    </row>
    <row r="618">
      <c r="B618" s="4" t="n"/>
    </row>
    <row r="619">
      <c r="B619" s="4" t="n"/>
    </row>
    <row r="620">
      <c r="B620" s="4" t="n"/>
    </row>
    <row r="621">
      <c r="B621" s="4" t="n"/>
    </row>
    <row r="622">
      <c r="B622" s="4" t="n"/>
    </row>
    <row r="623">
      <c r="B623" s="4" t="n"/>
    </row>
    <row r="624">
      <c r="B624" s="4" t="n"/>
    </row>
    <row r="625">
      <c r="B625" s="4" t="n"/>
    </row>
    <row r="626">
      <c r="B626" s="4" t="n"/>
    </row>
    <row r="627">
      <c r="B627" s="4" t="n"/>
    </row>
    <row r="628">
      <c r="B628" s="4" t="n"/>
    </row>
    <row r="629">
      <c r="B629" s="4" t="n"/>
    </row>
    <row r="630">
      <c r="B630" s="4" t="n"/>
    </row>
    <row r="631">
      <c r="B631" s="4" t="n"/>
    </row>
    <row r="632">
      <c r="B632" s="4" t="n"/>
    </row>
    <row r="633">
      <c r="B633" s="4" t="n"/>
    </row>
    <row r="634">
      <c r="B634" s="4" t="n"/>
    </row>
    <row r="635">
      <c r="B635" s="4" t="n"/>
    </row>
    <row r="636">
      <c r="B636" s="4" t="n"/>
    </row>
    <row r="637">
      <c r="B637" s="4" t="n"/>
    </row>
    <row r="638">
      <c r="B638" s="4" t="n"/>
    </row>
    <row r="639">
      <c r="B639" s="4" t="n"/>
    </row>
    <row r="640">
      <c r="B640" s="4" t="n"/>
    </row>
    <row r="641">
      <c r="B641" s="4" t="n"/>
    </row>
    <row r="642">
      <c r="B642" s="4" t="n"/>
    </row>
    <row r="643">
      <c r="B643" s="4" t="n"/>
    </row>
    <row r="644">
      <c r="B644" s="4" t="n"/>
    </row>
    <row r="645">
      <c r="B645" s="4" t="n"/>
    </row>
    <row r="646">
      <c r="B646" s="4" t="n"/>
    </row>
    <row r="647">
      <c r="B647" s="4" t="n"/>
    </row>
    <row r="648">
      <c r="B648" s="4" t="n"/>
    </row>
    <row r="649">
      <c r="B649" s="4" t="n"/>
    </row>
    <row r="650">
      <c r="B650" s="4" t="n"/>
    </row>
    <row r="651">
      <c r="B651" s="4" t="n"/>
    </row>
    <row r="652">
      <c r="B652" s="4" t="n"/>
    </row>
    <row r="653">
      <c r="B653" s="4" t="n"/>
    </row>
    <row r="654">
      <c r="B654" s="4" t="n"/>
    </row>
    <row r="655">
      <c r="B655" s="4" t="n"/>
    </row>
    <row r="656">
      <c r="B656" s="4" t="n"/>
    </row>
    <row r="657">
      <c r="B657" s="4" t="n"/>
    </row>
    <row r="658">
      <c r="B658" s="4" t="n"/>
    </row>
    <row r="659">
      <c r="B659" s="4" t="n"/>
    </row>
    <row r="660">
      <c r="B660" s="4" t="n"/>
    </row>
    <row r="661">
      <c r="B661" s="4" t="n"/>
    </row>
    <row r="662">
      <c r="B662" s="4" t="n"/>
    </row>
    <row r="663">
      <c r="B663" s="4" t="n"/>
    </row>
    <row r="664">
      <c r="B664" s="4" t="n"/>
    </row>
    <row r="665">
      <c r="B665" s="4" t="n"/>
    </row>
    <row r="666">
      <c r="B666" s="4" t="n"/>
    </row>
    <row r="667">
      <c r="B667" s="4" t="n"/>
    </row>
    <row r="668">
      <c r="B668" s="4" t="n"/>
    </row>
    <row r="669">
      <c r="B669" s="4" t="n"/>
    </row>
    <row r="670">
      <c r="B670" s="4" t="n"/>
    </row>
    <row r="671">
      <c r="B671" s="4" t="n"/>
    </row>
    <row r="672">
      <c r="B672" s="4" t="n"/>
    </row>
    <row r="673">
      <c r="B673" s="4" t="n"/>
    </row>
    <row r="674">
      <c r="B674" s="4" t="n"/>
    </row>
    <row r="675">
      <c r="B675" s="4" t="n"/>
    </row>
    <row r="676">
      <c r="B676" s="4" t="n"/>
    </row>
    <row r="677">
      <c r="B677" s="4" t="n"/>
    </row>
    <row r="678">
      <c r="B678" s="4" t="n"/>
    </row>
    <row r="679">
      <c r="B679" s="4" t="n"/>
    </row>
    <row r="680">
      <c r="B680" s="4" t="n"/>
    </row>
    <row r="681">
      <c r="B681" s="4" t="n"/>
    </row>
    <row r="682">
      <c r="B682" s="4" t="n"/>
    </row>
    <row r="683">
      <c r="B683" s="4" t="n"/>
    </row>
    <row r="684">
      <c r="B684" s="4" t="n"/>
    </row>
    <row r="685">
      <c r="B685" s="4" t="n"/>
    </row>
    <row r="686">
      <c r="B686" s="4" t="n"/>
    </row>
    <row r="687">
      <c r="B687" s="4" t="n"/>
    </row>
    <row r="688">
      <c r="B688" s="4" t="n"/>
    </row>
    <row r="689">
      <c r="B689" s="4" t="n"/>
    </row>
    <row r="690">
      <c r="B690" s="4" t="n"/>
    </row>
    <row r="691">
      <c r="B691" s="4" t="n"/>
    </row>
    <row r="692">
      <c r="B692" s="4" t="n"/>
    </row>
    <row r="693">
      <c r="B693" s="4" t="n"/>
    </row>
    <row r="694">
      <c r="B694" s="4" t="n"/>
    </row>
    <row r="695">
      <c r="B695" s="4" t="n"/>
    </row>
    <row r="696">
      <c r="B696" s="4" t="n"/>
    </row>
    <row r="697">
      <c r="B697" s="4" t="n"/>
    </row>
    <row r="698">
      <c r="B698" s="4" t="n"/>
    </row>
    <row r="699">
      <c r="B699" s="4" t="n"/>
    </row>
    <row r="700">
      <c r="B700" s="4" t="n"/>
    </row>
    <row r="701">
      <c r="B701" s="4" t="n"/>
    </row>
    <row r="702">
      <c r="B702" s="4" t="n"/>
    </row>
    <row r="703">
      <c r="B703" s="4" t="n"/>
    </row>
    <row r="704">
      <c r="B704" s="4" t="n"/>
    </row>
    <row r="705">
      <c r="B705" s="4" t="n"/>
    </row>
    <row r="706">
      <c r="B706" s="4" t="n"/>
    </row>
    <row r="707">
      <c r="B707" s="4" t="n"/>
    </row>
    <row r="708">
      <c r="B708" s="4" t="n"/>
    </row>
    <row r="709">
      <c r="B709" s="4" t="n"/>
    </row>
    <row r="710">
      <c r="B710" s="4" t="n"/>
    </row>
    <row r="711">
      <c r="B711" s="4" t="n"/>
    </row>
    <row r="712">
      <c r="B712" s="4" t="n"/>
    </row>
    <row r="713">
      <c r="B713" s="4" t="n"/>
    </row>
    <row r="714">
      <c r="B714" s="4" t="n"/>
    </row>
    <row r="715">
      <c r="B715" s="4" t="n"/>
    </row>
    <row r="716">
      <c r="B716" s="4" t="n"/>
    </row>
    <row r="717">
      <c r="B717" s="4" t="n"/>
    </row>
    <row r="718">
      <c r="B718" s="4" t="n"/>
    </row>
    <row r="719">
      <c r="B719" s="4" t="n"/>
    </row>
    <row r="720">
      <c r="B720" s="4" t="n"/>
    </row>
    <row r="721">
      <c r="B721" s="4" t="n"/>
    </row>
    <row r="722">
      <c r="B722" s="4" t="n"/>
    </row>
    <row r="723">
      <c r="B723" s="4" t="n"/>
    </row>
    <row r="724">
      <c r="B724" s="4" t="n"/>
    </row>
    <row r="725">
      <c r="B725" s="4" t="n"/>
    </row>
    <row r="726">
      <c r="B726" s="4" t="n"/>
    </row>
    <row r="727">
      <c r="B727" s="4" t="n"/>
    </row>
    <row r="728">
      <c r="B728" s="4" t="n"/>
    </row>
    <row r="729">
      <c r="B729" s="4" t="n"/>
    </row>
    <row r="730">
      <c r="B730" s="4" t="n"/>
    </row>
    <row r="731">
      <c r="B731" s="4" t="n"/>
    </row>
    <row r="732">
      <c r="B732" s="4" t="n"/>
    </row>
    <row r="733">
      <c r="B733" s="4" t="n"/>
    </row>
    <row r="734">
      <c r="B734" s="4" t="n"/>
    </row>
    <row r="735">
      <c r="B735" s="4" t="n"/>
    </row>
    <row r="736">
      <c r="B736" s="4" t="n"/>
    </row>
    <row r="737">
      <c r="B737" s="4" t="n"/>
    </row>
    <row r="738">
      <c r="B738" s="4" t="n"/>
    </row>
    <row r="739">
      <c r="B739" s="4" t="n"/>
    </row>
    <row r="740">
      <c r="B740" s="4" t="n"/>
    </row>
    <row r="741">
      <c r="B741" s="4" t="n"/>
    </row>
    <row r="742">
      <c r="B742" s="4" t="n"/>
    </row>
    <row r="743">
      <c r="B743" s="4" t="n"/>
    </row>
    <row r="744">
      <c r="B744" s="4" t="n"/>
    </row>
    <row r="745">
      <c r="B745" s="4" t="n"/>
    </row>
    <row r="746">
      <c r="B746" s="4" t="n"/>
    </row>
    <row r="747">
      <c r="B747" s="4" t="n"/>
    </row>
    <row r="748">
      <c r="B748" s="4" t="n"/>
    </row>
    <row r="749">
      <c r="B749" s="4" t="n"/>
    </row>
    <row r="750">
      <c r="B750" s="4" t="n"/>
    </row>
    <row r="751">
      <c r="B751" s="4" t="n"/>
    </row>
    <row r="752">
      <c r="B752" s="4" t="n"/>
    </row>
    <row r="753">
      <c r="B753" s="4" t="n"/>
    </row>
    <row r="754">
      <c r="B754" s="4" t="n"/>
    </row>
    <row r="755">
      <c r="B755" s="4" t="n"/>
    </row>
    <row r="756">
      <c r="B756" s="4" t="n"/>
    </row>
    <row r="757">
      <c r="B757" s="4" t="n"/>
    </row>
    <row r="758">
      <c r="B758" s="4" t="n"/>
    </row>
    <row r="759">
      <c r="B759" s="4" t="n"/>
    </row>
    <row r="760">
      <c r="B760" s="4" t="n"/>
    </row>
    <row r="761">
      <c r="B761" s="4" t="n"/>
    </row>
    <row r="762">
      <c r="B762" s="4" t="n"/>
    </row>
    <row r="763">
      <c r="B763" s="4" t="n"/>
    </row>
    <row r="764">
      <c r="B764" s="4" t="n"/>
    </row>
    <row r="765">
      <c r="B765" s="4" t="n"/>
    </row>
    <row r="766">
      <c r="B766" s="4" t="n"/>
    </row>
    <row r="767">
      <c r="B767" s="4" t="n"/>
    </row>
    <row r="768">
      <c r="B768" s="4" t="n"/>
    </row>
    <row r="769">
      <c r="B769" s="4" t="n"/>
    </row>
    <row r="770">
      <c r="B770" s="4" t="n"/>
    </row>
    <row r="771">
      <c r="B771" s="4" t="n"/>
    </row>
    <row r="772">
      <c r="B772" s="4" t="n"/>
    </row>
    <row r="773">
      <c r="B773" s="4" t="n"/>
    </row>
    <row r="774">
      <c r="B774" s="4" t="n"/>
    </row>
    <row r="775">
      <c r="B775" s="4" t="n"/>
    </row>
    <row r="776">
      <c r="B776" s="4" t="n"/>
    </row>
    <row r="777">
      <c r="B777" s="4" t="n"/>
    </row>
    <row r="778">
      <c r="B778" s="4" t="n"/>
    </row>
    <row r="779">
      <c r="B779" s="4" t="n"/>
    </row>
    <row r="780">
      <c r="B780" s="4" t="n"/>
    </row>
    <row r="781">
      <c r="B781" s="4" t="n"/>
    </row>
    <row r="782">
      <c r="B782" s="4" t="n"/>
    </row>
    <row r="783">
      <c r="B783" s="4" t="n"/>
    </row>
    <row r="784">
      <c r="B784" s="4" t="n"/>
    </row>
    <row r="785">
      <c r="B785" s="4" t="n"/>
    </row>
    <row r="786">
      <c r="B786" s="4" t="n"/>
    </row>
    <row r="787">
      <c r="B787" s="4" t="n"/>
    </row>
    <row r="788">
      <c r="B788" s="4" t="n"/>
    </row>
    <row r="789">
      <c r="B789" s="4" t="n"/>
    </row>
    <row r="790">
      <c r="B790" s="4" t="n"/>
    </row>
    <row r="791">
      <c r="B791" s="4" t="n"/>
    </row>
    <row r="792">
      <c r="B792" s="4" t="n"/>
    </row>
    <row r="793">
      <c r="B793" s="4" t="n"/>
    </row>
    <row r="794">
      <c r="B794" s="4" t="n"/>
    </row>
    <row r="795">
      <c r="B795" s="4" t="n"/>
    </row>
    <row r="796">
      <c r="B796" s="4" t="n"/>
    </row>
    <row r="797">
      <c r="B797" s="4" t="n"/>
    </row>
    <row r="798">
      <c r="B798" s="4" t="n"/>
    </row>
    <row r="799">
      <c r="B799" s="4" t="n"/>
    </row>
    <row r="800">
      <c r="B800" s="4" t="n"/>
    </row>
    <row r="801">
      <c r="B801" s="4" t="n"/>
    </row>
    <row r="802">
      <c r="B802" s="4" t="n"/>
    </row>
    <row r="803">
      <c r="B803" s="4" t="n"/>
    </row>
    <row r="804">
      <c r="B804" s="4" t="n"/>
    </row>
    <row r="805">
      <c r="B805" s="4" t="n"/>
    </row>
    <row r="806">
      <c r="B806" s="4" t="n"/>
    </row>
    <row r="807">
      <c r="B807" s="4" t="n"/>
    </row>
    <row r="808">
      <c r="B808" s="4" t="n"/>
    </row>
    <row r="809">
      <c r="B809" s="4" t="n"/>
    </row>
    <row r="810">
      <c r="B810" s="4" t="n"/>
    </row>
    <row r="811">
      <c r="B811" s="4" t="n"/>
    </row>
    <row r="812">
      <c r="B812" s="4" t="n"/>
    </row>
    <row r="813">
      <c r="B813" s="4" t="n"/>
    </row>
    <row r="814">
      <c r="B814" s="4" t="n"/>
    </row>
    <row r="815">
      <c r="B815" s="4" t="n"/>
    </row>
    <row r="816">
      <c r="B816" s="4" t="n"/>
    </row>
    <row r="817">
      <c r="B817" s="4" t="n"/>
    </row>
    <row r="818">
      <c r="B818" s="4" t="n"/>
    </row>
    <row r="819">
      <c r="B819" s="4" t="n"/>
    </row>
    <row r="820">
      <c r="B820" s="4" t="n"/>
    </row>
    <row r="821">
      <c r="B821" s="4" t="n"/>
    </row>
    <row r="822">
      <c r="B822" s="4" t="n"/>
    </row>
    <row r="823">
      <c r="B823" s="4" t="n"/>
    </row>
    <row r="824">
      <c r="B824" s="4" t="n"/>
    </row>
    <row r="825">
      <c r="B825" s="4" t="n"/>
    </row>
    <row r="826">
      <c r="B826" s="4" t="n"/>
    </row>
    <row r="827">
      <c r="B827" s="4" t="n"/>
    </row>
    <row r="828">
      <c r="B828" s="4" t="n"/>
    </row>
    <row r="829">
      <c r="B829" s="4" t="n"/>
    </row>
    <row r="830">
      <c r="B830" s="4" t="n"/>
    </row>
    <row r="831">
      <c r="B831" s="4" t="n"/>
    </row>
    <row r="832">
      <c r="B832" s="4" t="n"/>
    </row>
    <row r="833">
      <c r="B833" s="4" t="n"/>
    </row>
    <row r="834">
      <c r="B834" s="4" t="n"/>
    </row>
    <row r="835">
      <c r="B835" s="4" t="n"/>
    </row>
    <row r="836">
      <c r="B836" s="4" t="n"/>
    </row>
    <row r="837">
      <c r="B837" s="4" t="n"/>
    </row>
    <row r="838">
      <c r="B838" s="4" t="n"/>
    </row>
    <row r="839">
      <c r="B839" s="4" t="n"/>
    </row>
    <row r="840">
      <c r="B840" s="4" t="n"/>
    </row>
    <row r="841">
      <c r="B841" s="4" t="n"/>
    </row>
    <row r="842">
      <c r="B842" s="4" t="n"/>
    </row>
    <row r="843">
      <c r="B843" s="4" t="n"/>
    </row>
    <row r="844">
      <c r="B844" s="4" t="n"/>
    </row>
    <row r="845">
      <c r="B845" s="4" t="n"/>
    </row>
    <row r="846">
      <c r="B846" s="4" t="n"/>
    </row>
    <row r="847">
      <c r="B847" s="4" t="n"/>
    </row>
    <row r="848">
      <c r="B848" s="4" t="n"/>
    </row>
    <row r="849">
      <c r="B849" s="4" t="n"/>
    </row>
    <row r="850">
      <c r="B850" s="4" t="n"/>
    </row>
    <row r="851">
      <c r="B851" s="4" t="n"/>
    </row>
    <row r="852">
      <c r="B852" s="4" t="n"/>
    </row>
    <row r="853">
      <c r="B853" s="4" t="n"/>
    </row>
    <row r="854">
      <c r="B854" s="4" t="n"/>
    </row>
    <row r="855">
      <c r="B855" s="4" t="n"/>
    </row>
    <row r="856">
      <c r="B856" s="4" t="n"/>
    </row>
    <row r="857">
      <c r="B857" s="4" t="n"/>
    </row>
    <row r="858">
      <c r="B858" s="4" t="n"/>
    </row>
    <row r="859">
      <c r="B859" s="4" t="n"/>
    </row>
    <row r="860">
      <c r="B860" s="4" t="n"/>
    </row>
    <row r="861">
      <c r="B861" s="4" t="n"/>
    </row>
    <row r="862">
      <c r="B862" s="4" t="n"/>
    </row>
    <row r="863">
      <c r="B863" s="4" t="n"/>
    </row>
    <row r="864">
      <c r="B864" s="4" t="n"/>
    </row>
    <row r="865">
      <c r="B865" s="4" t="n"/>
    </row>
    <row r="866">
      <c r="B866" s="4" t="n"/>
    </row>
    <row r="867">
      <c r="B867" s="4" t="n"/>
    </row>
    <row r="868">
      <c r="B868" s="4" t="n"/>
    </row>
    <row r="869">
      <c r="B869" s="4" t="n"/>
    </row>
    <row r="870">
      <c r="B870" s="4" t="n"/>
    </row>
    <row r="871">
      <c r="B871" s="4" t="n"/>
    </row>
    <row r="872">
      <c r="B872" s="4" t="n"/>
    </row>
    <row r="873">
      <c r="B873" s="4" t="n"/>
    </row>
    <row r="874">
      <c r="B874" s="4" t="n"/>
    </row>
    <row r="875">
      <c r="B875" s="4" t="n"/>
    </row>
    <row r="876">
      <c r="B876" s="4" t="n"/>
    </row>
    <row r="877">
      <c r="B877" s="4" t="n"/>
    </row>
    <row r="878">
      <c r="B878" s="4" t="n"/>
    </row>
    <row r="879">
      <c r="B879" s="4" t="n"/>
    </row>
    <row r="880">
      <c r="B880" s="4" t="n"/>
    </row>
    <row r="881">
      <c r="B881" s="4" t="n"/>
    </row>
    <row r="882">
      <c r="B882" s="4" t="n"/>
    </row>
    <row r="883">
      <c r="B883" s="4" t="n"/>
    </row>
    <row r="884">
      <c r="B884" s="4" t="n"/>
    </row>
    <row r="885">
      <c r="B885" s="4" t="n"/>
    </row>
    <row r="886">
      <c r="B886" s="4" t="n"/>
    </row>
    <row r="887">
      <c r="B887" s="4" t="n"/>
    </row>
    <row r="888">
      <c r="B888" s="4" t="n"/>
    </row>
    <row r="889">
      <c r="B889" s="4" t="n"/>
    </row>
    <row r="890">
      <c r="B890" s="4" t="n"/>
    </row>
    <row r="891">
      <c r="B891" s="4" t="n"/>
    </row>
    <row r="892">
      <c r="B892" s="4" t="n"/>
    </row>
    <row r="893">
      <c r="B893" s="4" t="n"/>
    </row>
    <row r="894">
      <c r="B894" s="4" t="n"/>
    </row>
    <row r="895">
      <c r="B895" s="4" t="n"/>
    </row>
    <row r="896">
      <c r="B896" s="4" t="n"/>
    </row>
    <row r="897">
      <c r="B897" s="4" t="n"/>
    </row>
    <row r="898">
      <c r="B898" s="4" t="n"/>
    </row>
    <row r="899">
      <c r="B899" s="4" t="n"/>
    </row>
    <row r="900">
      <c r="B900" s="4" t="n"/>
    </row>
    <row r="901">
      <c r="B901" s="4" t="n"/>
    </row>
    <row r="902">
      <c r="B902" s="4" t="n"/>
    </row>
    <row r="903">
      <c r="B903" s="4" t="n"/>
    </row>
    <row r="904">
      <c r="B904" s="4" t="n"/>
    </row>
    <row r="905">
      <c r="B905" s="4" t="n"/>
    </row>
    <row r="906">
      <c r="B906" s="4" t="n"/>
    </row>
    <row r="907">
      <c r="B907" s="4" t="n"/>
    </row>
    <row r="908">
      <c r="B908" s="4" t="n"/>
    </row>
    <row r="909">
      <c r="B909" s="4" t="n"/>
    </row>
    <row r="910">
      <c r="B910" s="4" t="n"/>
    </row>
    <row r="911">
      <c r="B911" s="4" t="n"/>
    </row>
    <row r="912">
      <c r="B912" s="4" t="n"/>
    </row>
    <row r="913">
      <c r="B913" s="4" t="n"/>
    </row>
    <row r="914">
      <c r="B914" s="4" t="n"/>
    </row>
    <row r="915">
      <c r="B915" s="4" t="n"/>
    </row>
    <row r="916">
      <c r="B916" s="4" t="n"/>
    </row>
    <row r="917">
      <c r="B917" s="4" t="n"/>
    </row>
    <row r="918">
      <c r="B918" s="4" t="n"/>
    </row>
    <row r="919">
      <c r="B919" s="4" t="n"/>
    </row>
    <row r="920">
      <c r="B920" s="4" t="n"/>
    </row>
    <row r="921">
      <c r="B921" s="4" t="n"/>
    </row>
    <row r="922">
      <c r="B922" s="4" t="n"/>
    </row>
    <row r="923">
      <c r="B923" s="4" t="n"/>
    </row>
    <row r="924">
      <c r="B924" s="4" t="n"/>
    </row>
    <row r="925">
      <c r="B925" s="4" t="n"/>
    </row>
    <row r="926">
      <c r="B926" s="4" t="n"/>
    </row>
    <row r="927">
      <c r="B927" s="4" t="n"/>
    </row>
    <row r="928">
      <c r="B928" s="4" t="n"/>
    </row>
    <row r="929">
      <c r="B929" s="4" t="n"/>
    </row>
    <row r="930">
      <c r="B930" s="4" t="n"/>
    </row>
    <row r="931">
      <c r="B931" s="4" t="n"/>
    </row>
    <row r="932">
      <c r="B932" s="4" t="n"/>
    </row>
    <row r="933">
      <c r="B933" s="4" t="n"/>
    </row>
    <row r="934">
      <c r="B934" s="4" t="n"/>
    </row>
    <row r="935">
      <c r="B935" s="4" t="n"/>
    </row>
    <row r="936">
      <c r="B936" s="4" t="n"/>
    </row>
    <row r="937">
      <c r="B937" s="4" t="n"/>
    </row>
    <row r="938">
      <c r="B938" s="4" t="n"/>
    </row>
    <row r="939">
      <c r="B939" s="4" t="n"/>
    </row>
    <row r="940">
      <c r="B940" s="4" t="n"/>
    </row>
    <row r="941">
      <c r="B941" s="4" t="n"/>
    </row>
    <row r="942">
      <c r="B942" s="4" t="n"/>
    </row>
    <row r="943">
      <c r="B943" s="4" t="n"/>
    </row>
    <row r="944">
      <c r="B944" s="4" t="n"/>
    </row>
    <row r="945">
      <c r="B945" s="4" t="n"/>
    </row>
    <row r="946">
      <c r="B946" s="4" t="n"/>
    </row>
    <row r="947">
      <c r="B947" s="4" t="n"/>
    </row>
    <row r="948">
      <c r="B948" s="4" t="n"/>
    </row>
    <row r="949">
      <c r="B949" s="4" t="n"/>
    </row>
    <row r="950">
      <c r="B950" s="4" t="n"/>
    </row>
    <row r="951">
      <c r="B951" s="4" t="n"/>
    </row>
    <row r="952">
      <c r="B952" s="4" t="n"/>
    </row>
    <row r="953">
      <c r="B953" s="4" t="n"/>
    </row>
    <row r="954">
      <c r="B954" s="4" t="n"/>
    </row>
    <row r="955">
      <c r="B955" s="4" t="n"/>
    </row>
    <row r="956">
      <c r="B956" s="4" t="n"/>
    </row>
    <row r="957">
      <c r="B957" s="4" t="n"/>
    </row>
    <row r="958">
      <c r="B958" s="4" t="n"/>
    </row>
    <row r="959">
      <c r="B959" s="4" t="n"/>
    </row>
    <row r="960">
      <c r="B960" s="4" t="n"/>
    </row>
    <row r="961">
      <c r="B961" s="4" t="n"/>
    </row>
    <row r="962">
      <c r="B962" s="4" t="n"/>
    </row>
    <row r="963">
      <c r="B963" s="4" t="n"/>
    </row>
    <row r="964">
      <c r="B964" s="4" t="n"/>
    </row>
    <row r="965">
      <c r="B965" s="4" t="n"/>
    </row>
    <row r="966">
      <c r="B966" s="4" t="n"/>
    </row>
    <row r="967">
      <c r="B967" s="4" t="n"/>
    </row>
    <row r="968">
      <c r="B968" s="4" t="n"/>
    </row>
    <row r="969">
      <c r="B969" s="4" t="n"/>
    </row>
    <row r="970">
      <c r="B970" s="4" t="n"/>
    </row>
    <row r="971">
      <c r="B971" s="4" t="n"/>
    </row>
    <row r="972">
      <c r="B972" s="4" t="n"/>
    </row>
    <row r="973">
      <c r="B973" s="4" t="n"/>
    </row>
    <row r="974">
      <c r="B974" s="4" t="n"/>
    </row>
    <row r="975">
      <c r="B975" s="4" t="n"/>
    </row>
    <row r="976">
      <c r="B976" s="4" t="n"/>
    </row>
    <row r="977">
      <c r="B977" s="4" t="n"/>
    </row>
    <row r="978">
      <c r="B978" s="4" t="n"/>
    </row>
    <row r="979">
      <c r="B979" s="4" t="n"/>
    </row>
    <row r="980">
      <c r="B980" s="4" t="n"/>
    </row>
    <row r="981">
      <c r="B981" s="4" t="n"/>
    </row>
    <row r="982">
      <c r="B982" s="4" t="n"/>
    </row>
    <row r="983">
      <c r="B983" s="4" t="n"/>
    </row>
    <row r="984">
      <c r="B984" s="4" t="n"/>
    </row>
    <row r="985">
      <c r="B985" s="4" t="n"/>
    </row>
    <row r="986">
      <c r="B986" s="4" t="n"/>
    </row>
    <row r="987">
      <c r="B987" s="4" t="n"/>
    </row>
    <row r="988">
      <c r="B988" s="4" t="n"/>
    </row>
    <row r="989">
      <c r="B989" s="4" t="n"/>
    </row>
    <row r="990">
      <c r="B990" s="4" t="n"/>
    </row>
    <row r="991">
      <c r="B991" s="4" t="n"/>
    </row>
    <row r="992">
      <c r="B992" s="4" t="n"/>
    </row>
    <row r="993">
      <c r="B993" s="4" t="n"/>
    </row>
    <row r="994">
      <c r="B994" s="4" t="n"/>
    </row>
    <row r="995">
      <c r="B995" s="4" t="n"/>
    </row>
    <row r="996">
      <c r="B996" s="4" t="n"/>
    </row>
    <row r="997">
      <c r="B997" s="4" t="n"/>
    </row>
    <row r="998">
      <c r="B998" s="4" t="n"/>
    </row>
    <row r="999">
      <c r="B999" s="4" t="n"/>
    </row>
    <row r="1000">
      <c r="B1000" s="4" t="n"/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1000"/>
  <sheetViews>
    <sheetView workbookViewId="0">
      <selection activeCell="A1" sqref="A1"/>
    </sheetView>
  </sheetViews>
  <sheetFormatPr baseColWidth="8" customHeight="1" defaultColWidth="12.63" defaultRowHeight="15.75"/>
  <sheetData>
    <row r="1">
      <c r="A1" s="1" t="inlineStr">
        <is>
          <t>타입</t>
        </is>
      </c>
      <c r="B1" s="1" t="inlineStr">
        <is>
          <t>분양가</t>
        </is>
      </c>
    </row>
    <row r="2">
      <c r="A2" s="1" t="inlineStr">
        <is>
          <t>60A</t>
        </is>
      </c>
      <c r="B2" s="4" t="n">
        <v>1490000000</v>
      </c>
    </row>
    <row r="3">
      <c r="A3" s="1" t="inlineStr">
        <is>
          <t>60C</t>
        </is>
      </c>
      <c r="B3" s="4" t="n">
        <v>1492000000</v>
      </c>
    </row>
    <row r="4">
      <c r="A4" s="1" t="inlineStr">
        <is>
          <t>64A</t>
        </is>
      </c>
      <c r="B4" s="4" t="n">
        <v>1640000000</v>
      </c>
    </row>
    <row r="5">
      <c r="A5" s="1" t="inlineStr">
        <is>
          <t>71D</t>
        </is>
      </c>
      <c r="B5" s="4" t="n">
        <v>1822000000</v>
      </c>
    </row>
    <row r="6">
      <c r="A6" s="1" t="inlineStr">
        <is>
          <t>73B1</t>
        </is>
      </c>
      <c r="B6" s="4" t="n">
        <v>1883000000</v>
      </c>
    </row>
    <row r="7">
      <c r="A7" s="1" t="inlineStr">
        <is>
          <t>73B2</t>
        </is>
      </c>
      <c r="B7" s="4" t="n">
        <v>1833000000</v>
      </c>
    </row>
    <row r="8">
      <c r="A8" s="1" t="inlineStr">
        <is>
          <t>78N</t>
        </is>
      </c>
      <c r="B8" s="4" t="n">
        <v>1997000000</v>
      </c>
    </row>
    <row r="9">
      <c r="A9" s="1" t="inlineStr">
        <is>
          <t>84N</t>
        </is>
      </c>
      <c r="B9" s="4" t="n">
        <v>2180000000</v>
      </c>
    </row>
    <row r="10">
      <c r="B10" s="4" t="n"/>
    </row>
    <row r="11">
      <c r="B11" s="4" t="n"/>
    </row>
    <row r="12">
      <c r="B12" s="4" t="n"/>
    </row>
    <row r="13">
      <c r="B13" s="4" t="n"/>
    </row>
    <row r="14">
      <c r="B14" s="4" t="n"/>
    </row>
    <row r="15">
      <c r="B15" s="4" t="n"/>
    </row>
    <row r="16">
      <c r="B16" s="4" t="n"/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  <row r="30">
      <c r="B30" s="4" t="n"/>
    </row>
    <row r="31">
      <c r="B31" s="4" t="n"/>
    </row>
    <row r="32">
      <c r="B32" s="4" t="n"/>
    </row>
    <row r="33">
      <c r="B33" s="4" t="n"/>
    </row>
    <row r="34">
      <c r="B34" s="4" t="n"/>
    </row>
    <row r="35">
      <c r="B35" s="4" t="n"/>
    </row>
    <row r="36">
      <c r="B36" s="4" t="n"/>
    </row>
    <row r="37">
      <c r="B37" s="4" t="n"/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  <row r="201">
      <c r="B201" s="4" t="n"/>
    </row>
    <row r="202">
      <c r="B202" s="4" t="n"/>
    </row>
    <row r="203">
      <c r="B203" s="4" t="n"/>
    </row>
    <row r="204">
      <c r="B204" s="4" t="n"/>
    </row>
    <row r="205">
      <c r="B205" s="4" t="n"/>
    </row>
    <row r="206">
      <c r="B206" s="4" t="n"/>
    </row>
    <row r="207">
      <c r="B207" s="4" t="n"/>
    </row>
    <row r="208">
      <c r="B208" s="4" t="n"/>
    </row>
    <row r="209">
      <c r="B209" s="4" t="n"/>
    </row>
    <row r="210">
      <c r="B210" s="4" t="n"/>
    </row>
    <row r="211">
      <c r="B211" s="4" t="n"/>
    </row>
    <row r="212">
      <c r="B212" s="4" t="n"/>
    </row>
    <row r="213">
      <c r="B213" s="4" t="n"/>
    </row>
    <row r="214">
      <c r="B214" s="4" t="n"/>
    </row>
    <row r="215">
      <c r="B215" s="4" t="n"/>
    </row>
    <row r="216">
      <c r="B216" s="4" t="n"/>
    </row>
    <row r="217">
      <c r="B217" s="4" t="n"/>
    </row>
    <row r="218">
      <c r="B218" s="4" t="n"/>
    </row>
    <row r="219">
      <c r="B219" s="4" t="n"/>
    </row>
    <row r="220">
      <c r="B220" s="4" t="n"/>
    </row>
    <row r="221">
      <c r="B221" s="4" t="n"/>
    </row>
    <row r="222">
      <c r="B222" s="4" t="n"/>
    </row>
    <row r="223">
      <c r="B223" s="4" t="n"/>
    </row>
    <row r="224">
      <c r="B224" s="4" t="n"/>
    </row>
    <row r="225">
      <c r="B225" s="4" t="n"/>
    </row>
    <row r="226">
      <c r="B226" s="4" t="n"/>
    </row>
    <row r="227">
      <c r="B227" s="4" t="n"/>
    </row>
    <row r="228">
      <c r="B228" s="4" t="n"/>
    </row>
    <row r="229">
      <c r="B229" s="4" t="n"/>
    </row>
    <row r="230">
      <c r="B230" s="4" t="n"/>
    </row>
    <row r="231">
      <c r="B231" s="4" t="n"/>
    </row>
    <row r="232">
      <c r="B232" s="4" t="n"/>
    </row>
    <row r="233">
      <c r="B233" s="4" t="n"/>
    </row>
    <row r="234">
      <c r="B234" s="4" t="n"/>
    </row>
    <row r="235">
      <c r="B235" s="4" t="n"/>
    </row>
    <row r="236">
      <c r="B236" s="4" t="n"/>
    </row>
    <row r="237">
      <c r="B237" s="4" t="n"/>
    </row>
    <row r="238">
      <c r="B238" s="4" t="n"/>
    </row>
    <row r="239">
      <c r="B239" s="4" t="n"/>
    </row>
    <row r="240">
      <c r="B240" s="4" t="n"/>
    </row>
    <row r="241">
      <c r="B241" s="4" t="n"/>
    </row>
    <row r="242">
      <c r="B242" s="4" t="n"/>
    </row>
    <row r="243">
      <c r="B243" s="4" t="n"/>
    </row>
    <row r="244">
      <c r="B244" s="4" t="n"/>
    </row>
    <row r="245">
      <c r="B245" s="4" t="n"/>
    </row>
    <row r="246">
      <c r="B246" s="4" t="n"/>
    </row>
    <row r="247">
      <c r="B247" s="4" t="n"/>
    </row>
    <row r="248">
      <c r="B248" s="4" t="n"/>
    </row>
    <row r="249">
      <c r="B249" s="4" t="n"/>
    </row>
    <row r="250">
      <c r="B250" s="4" t="n"/>
    </row>
    <row r="251">
      <c r="B251" s="4" t="n"/>
    </row>
    <row r="252">
      <c r="B252" s="4" t="n"/>
    </row>
    <row r="253">
      <c r="B253" s="4" t="n"/>
    </row>
    <row r="254">
      <c r="B254" s="4" t="n"/>
    </row>
    <row r="255">
      <c r="B255" s="4" t="n"/>
    </row>
    <row r="256">
      <c r="B256" s="4" t="n"/>
    </row>
    <row r="257">
      <c r="B257" s="4" t="n"/>
    </row>
    <row r="258">
      <c r="B258" s="4" t="n"/>
    </row>
    <row r="259">
      <c r="B259" s="4" t="n"/>
    </row>
    <row r="260">
      <c r="B260" s="4" t="n"/>
    </row>
    <row r="261">
      <c r="B261" s="4" t="n"/>
    </row>
    <row r="262">
      <c r="B262" s="4" t="n"/>
    </row>
    <row r="263">
      <c r="B263" s="4" t="n"/>
    </row>
    <row r="264">
      <c r="B264" s="4" t="n"/>
    </row>
    <row r="265">
      <c r="B265" s="4" t="n"/>
    </row>
    <row r="266">
      <c r="B266" s="4" t="n"/>
    </row>
    <row r="267">
      <c r="B267" s="4" t="n"/>
    </row>
    <row r="268">
      <c r="B268" s="4" t="n"/>
    </row>
    <row r="269">
      <c r="B269" s="4" t="n"/>
    </row>
    <row r="270">
      <c r="B270" s="4" t="n"/>
    </row>
    <row r="271">
      <c r="B271" s="4" t="n"/>
    </row>
    <row r="272">
      <c r="B272" s="4" t="n"/>
    </row>
    <row r="273">
      <c r="B273" s="4" t="n"/>
    </row>
    <row r="274">
      <c r="B274" s="4" t="n"/>
    </row>
    <row r="275">
      <c r="B275" s="4" t="n"/>
    </row>
    <row r="276">
      <c r="B276" s="4" t="n"/>
    </row>
    <row r="277">
      <c r="B277" s="4" t="n"/>
    </row>
    <row r="278">
      <c r="B278" s="4" t="n"/>
    </row>
    <row r="279">
      <c r="B279" s="4" t="n"/>
    </row>
    <row r="280">
      <c r="B280" s="4" t="n"/>
    </row>
    <row r="281">
      <c r="B281" s="4" t="n"/>
    </row>
    <row r="282">
      <c r="B282" s="4" t="n"/>
    </row>
    <row r="283">
      <c r="B283" s="4" t="n"/>
    </row>
    <row r="284">
      <c r="B284" s="4" t="n"/>
    </row>
    <row r="285">
      <c r="B285" s="4" t="n"/>
    </row>
    <row r="286">
      <c r="B286" s="4" t="n"/>
    </row>
    <row r="287">
      <c r="B287" s="4" t="n"/>
    </row>
    <row r="288">
      <c r="B288" s="4" t="n"/>
    </row>
    <row r="289">
      <c r="B289" s="4" t="n"/>
    </row>
    <row r="290">
      <c r="B290" s="4" t="n"/>
    </row>
    <row r="291">
      <c r="B291" s="4" t="n"/>
    </row>
    <row r="292">
      <c r="B292" s="4" t="n"/>
    </row>
    <row r="293">
      <c r="B293" s="4" t="n"/>
    </row>
    <row r="294">
      <c r="B294" s="4" t="n"/>
    </row>
    <row r="295">
      <c r="B295" s="4" t="n"/>
    </row>
    <row r="296">
      <c r="B296" s="4" t="n"/>
    </row>
    <row r="297">
      <c r="B297" s="4" t="n"/>
    </row>
    <row r="298">
      <c r="B298" s="4" t="n"/>
    </row>
    <row r="299">
      <c r="B299" s="4" t="n"/>
    </row>
    <row r="300">
      <c r="B300" s="4" t="n"/>
    </row>
    <row r="301">
      <c r="B301" s="4" t="n"/>
    </row>
    <row r="302">
      <c r="B302" s="4" t="n"/>
    </row>
    <row r="303">
      <c r="B303" s="4" t="n"/>
    </row>
    <row r="304">
      <c r="B304" s="4" t="n"/>
    </row>
    <row r="305">
      <c r="B305" s="4" t="n"/>
    </row>
    <row r="306">
      <c r="B306" s="4" t="n"/>
    </row>
    <row r="307">
      <c r="B307" s="4" t="n"/>
    </row>
    <row r="308">
      <c r="B308" s="4" t="n"/>
    </row>
    <row r="309">
      <c r="B309" s="4" t="n"/>
    </row>
    <row r="310">
      <c r="B310" s="4" t="n"/>
    </row>
    <row r="311">
      <c r="B311" s="4" t="n"/>
    </row>
    <row r="312">
      <c r="B312" s="4" t="n"/>
    </row>
    <row r="313">
      <c r="B313" s="4" t="n"/>
    </row>
    <row r="314">
      <c r="B314" s="4" t="n"/>
    </row>
    <row r="315">
      <c r="B315" s="4" t="n"/>
    </row>
    <row r="316">
      <c r="B316" s="4" t="n"/>
    </row>
    <row r="317">
      <c r="B317" s="4" t="n"/>
    </row>
    <row r="318">
      <c r="B318" s="4" t="n"/>
    </row>
    <row r="319">
      <c r="B319" s="4" t="n"/>
    </row>
    <row r="320">
      <c r="B320" s="4" t="n"/>
    </row>
    <row r="321">
      <c r="B321" s="4" t="n"/>
    </row>
    <row r="322">
      <c r="B322" s="4" t="n"/>
    </row>
    <row r="323">
      <c r="B323" s="4" t="n"/>
    </row>
    <row r="324">
      <c r="B324" s="4" t="n"/>
    </row>
    <row r="325">
      <c r="B325" s="4" t="n"/>
    </row>
    <row r="326">
      <c r="B326" s="4" t="n"/>
    </row>
    <row r="327">
      <c r="B327" s="4" t="n"/>
    </row>
    <row r="328">
      <c r="B328" s="4" t="n"/>
    </row>
    <row r="329">
      <c r="B329" s="4" t="n"/>
    </row>
    <row r="330">
      <c r="B330" s="4" t="n"/>
    </row>
    <row r="331">
      <c r="B331" s="4" t="n"/>
    </row>
    <row r="332">
      <c r="B332" s="4" t="n"/>
    </row>
    <row r="333">
      <c r="B333" s="4" t="n"/>
    </row>
    <row r="334">
      <c r="B334" s="4" t="n"/>
    </row>
    <row r="335">
      <c r="B335" s="4" t="n"/>
    </row>
    <row r="336">
      <c r="B336" s="4" t="n"/>
    </row>
    <row r="337">
      <c r="B337" s="4" t="n"/>
    </row>
    <row r="338">
      <c r="B338" s="4" t="n"/>
    </row>
    <row r="339">
      <c r="B339" s="4" t="n"/>
    </row>
    <row r="340">
      <c r="B340" s="4" t="n"/>
    </row>
    <row r="341">
      <c r="B341" s="4" t="n"/>
    </row>
    <row r="342">
      <c r="B342" s="4" t="n"/>
    </row>
    <row r="343">
      <c r="B343" s="4" t="n"/>
    </row>
    <row r="344">
      <c r="B344" s="4" t="n"/>
    </row>
    <row r="345">
      <c r="B345" s="4" t="n"/>
    </row>
    <row r="346">
      <c r="B346" s="4" t="n"/>
    </row>
    <row r="347">
      <c r="B347" s="4" t="n"/>
    </row>
    <row r="348">
      <c r="B348" s="4" t="n"/>
    </row>
    <row r="349">
      <c r="B349" s="4" t="n"/>
    </row>
    <row r="350">
      <c r="B350" s="4" t="n"/>
    </row>
    <row r="351">
      <c r="B351" s="4" t="n"/>
    </row>
    <row r="352">
      <c r="B352" s="4" t="n"/>
    </row>
    <row r="353">
      <c r="B353" s="4" t="n"/>
    </row>
    <row r="354">
      <c r="B354" s="4" t="n"/>
    </row>
    <row r="355">
      <c r="B355" s="4" t="n"/>
    </row>
    <row r="356">
      <c r="B356" s="4" t="n"/>
    </row>
    <row r="357">
      <c r="B357" s="4" t="n"/>
    </row>
    <row r="358">
      <c r="B358" s="4" t="n"/>
    </row>
    <row r="359">
      <c r="B359" s="4" t="n"/>
    </row>
    <row r="360">
      <c r="B360" s="4" t="n"/>
    </row>
    <row r="361">
      <c r="B361" s="4" t="n"/>
    </row>
    <row r="362">
      <c r="B362" s="4" t="n"/>
    </row>
    <row r="363">
      <c r="B363" s="4" t="n"/>
    </row>
    <row r="364">
      <c r="B364" s="4" t="n"/>
    </row>
    <row r="365">
      <c r="B365" s="4" t="n"/>
    </row>
    <row r="366">
      <c r="B366" s="4" t="n"/>
    </row>
    <row r="367">
      <c r="B367" s="4" t="n"/>
    </row>
    <row r="368">
      <c r="B368" s="4" t="n"/>
    </row>
    <row r="369">
      <c r="B369" s="4" t="n"/>
    </row>
    <row r="370">
      <c r="B370" s="4" t="n"/>
    </row>
    <row r="371">
      <c r="B371" s="4" t="n"/>
    </row>
    <row r="372">
      <c r="B372" s="4" t="n"/>
    </row>
    <row r="373">
      <c r="B373" s="4" t="n"/>
    </row>
    <row r="374">
      <c r="B374" s="4" t="n"/>
    </row>
    <row r="375">
      <c r="B375" s="4" t="n"/>
    </row>
    <row r="376">
      <c r="B376" s="4" t="n"/>
    </row>
    <row r="377">
      <c r="B377" s="4" t="n"/>
    </row>
    <row r="378">
      <c r="B378" s="4" t="n"/>
    </row>
    <row r="379">
      <c r="B379" s="4" t="n"/>
    </row>
    <row r="380">
      <c r="B380" s="4" t="n"/>
    </row>
    <row r="381">
      <c r="B381" s="4" t="n"/>
    </row>
    <row r="382">
      <c r="B382" s="4" t="n"/>
    </row>
    <row r="383">
      <c r="B383" s="4" t="n"/>
    </row>
    <row r="384">
      <c r="B384" s="4" t="n"/>
    </row>
    <row r="385">
      <c r="B385" s="4" t="n"/>
    </row>
    <row r="386">
      <c r="B386" s="4" t="n"/>
    </row>
    <row r="387">
      <c r="B387" s="4" t="n"/>
    </row>
    <row r="388">
      <c r="B388" s="4" t="n"/>
    </row>
    <row r="389">
      <c r="B389" s="4" t="n"/>
    </row>
    <row r="390">
      <c r="B390" s="4" t="n"/>
    </row>
    <row r="391">
      <c r="B391" s="4" t="n"/>
    </row>
    <row r="392">
      <c r="B392" s="4" t="n"/>
    </row>
    <row r="393">
      <c r="B393" s="4" t="n"/>
    </row>
    <row r="394">
      <c r="B394" s="4" t="n"/>
    </row>
    <row r="395">
      <c r="B395" s="4" t="n"/>
    </row>
    <row r="396">
      <c r="B396" s="4" t="n"/>
    </row>
    <row r="397">
      <c r="B397" s="4" t="n"/>
    </row>
    <row r="398">
      <c r="B398" s="4" t="n"/>
    </row>
    <row r="399">
      <c r="B399" s="4" t="n"/>
    </row>
    <row r="400">
      <c r="B400" s="4" t="n"/>
    </row>
    <row r="401">
      <c r="B401" s="4" t="n"/>
    </row>
    <row r="402">
      <c r="B402" s="4" t="n"/>
    </row>
    <row r="403">
      <c r="B403" s="4" t="n"/>
    </row>
    <row r="404">
      <c r="B404" s="4" t="n"/>
    </row>
    <row r="405">
      <c r="B405" s="4" t="n"/>
    </row>
    <row r="406">
      <c r="B406" s="4" t="n"/>
    </row>
    <row r="407">
      <c r="B407" s="4" t="n"/>
    </row>
    <row r="408">
      <c r="B408" s="4" t="n"/>
    </row>
    <row r="409">
      <c r="B409" s="4" t="n"/>
    </row>
    <row r="410">
      <c r="B410" s="4" t="n"/>
    </row>
    <row r="411">
      <c r="B411" s="4" t="n"/>
    </row>
    <row r="412">
      <c r="B412" s="4" t="n"/>
    </row>
    <row r="413">
      <c r="B413" s="4" t="n"/>
    </row>
    <row r="414">
      <c r="B414" s="4" t="n"/>
    </row>
    <row r="415">
      <c r="B415" s="4" t="n"/>
    </row>
    <row r="416">
      <c r="B416" s="4" t="n"/>
    </row>
    <row r="417">
      <c r="B417" s="4" t="n"/>
    </row>
    <row r="418">
      <c r="B418" s="4" t="n"/>
    </row>
    <row r="419">
      <c r="B419" s="4" t="n"/>
    </row>
    <row r="420">
      <c r="B420" s="4" t="n"/>
    </row>
    <row r="421">
      <c r="B421" s="4" t="n"/>
    </row>
    <row r="422">
      <c r="B422" s="4" t="n"/>
    </row>
    <row r="423">
      <c r="B423" s="4" t="n"/>
    </row>
    <row r="424">
      <c r="B424" s="4" t="n"/>
    </row>
    <row r="425">
      <c r="B425" s="4" t="n"/>
    </row>
    <row r="426">
      <c r="B426" s="4" t="n"/>
    </row>
    <row r="427">
      <c r="B427" s="4" t="n"/>
    </row>
    <row r="428">
      <c r="B428" s="4" t="n"/>
    </row>
    <row r="429">
      <c r="B429" s="4" t="n"/>
    </row>
    <row r="430">
      <c r="B430" s="4" t="n"/>
    </row>
    <row r="431">
      <c r="B431" s="4" t="n"/>
    </row>
    <row r="432">
      <c r="B432" s="4" t="n"/>
    </row>
    <row r="433">
      <c r="B433" s="4" t="n"/>
    </row>
    <row r="434">
      <c r="B434" s="4" t="n"/>
    </row>
    <row r="435">
      <c r="B435" s="4" t="n"/>
    </row>
    <row r="436">
      <c r="B436" s="4" t="n"/>
    </row>
    <row r="437">
      <c r="B437" s="4" t="n"/>
    </row>
    <row r="438">
      <c r="B438" s="4" t="n"/>
    </row>
    <row r="439">
      <c r="B439" s="4" t="n"/>
    </row>
    <row r="440">
      <c r="B440" s="4" t="n"/>
    </row>
    <row r="441">
      <c r="B441" s="4" t="n"/>
    </row>
    <row r="442">
      <c r="B442" s="4" t="n"/>
    </row>
    <row r="443">
      <c r="B443" s="4" t="n"/>
    </row>
    <row r="444">
      <c r="B444" s="4" t="n"/>
    </row>
    <row r="445">
      <c r="B445" s="4" t="n"/>
    </row>
    <row r="446">
      <c r="B446" s="4" t="n"/>
    </row>
    <row r="447">
      <c r="B447" s="4" t="n"/>
    </row>
    <row r="448">
      <c r="B448" s="4" t="n"/>
    </row>
    <row r="449">
      <c r="B449" s="4" t="n"/>
    </row>
    <row r="450">
      <c r="B450" s="4" t="n"/>
    </row>
    <row r="451">
      <c r="B451" s="4" t="n"/>
    </row>
    <row r="452">
      <c r="B452" s="4" t="n"/>
    </row>
    <row r="453">
      <c r="B453" s="4" t="n"/>
    </row>
    <row r="454">
      <c r="B454" s="4" t="n"/>
    </row>
    <row r="455">
      <c r="B455" s="4" t="n"/>
    </row>
    <row r="456">
      <c r="B456" s="4" t="n"/>
    </row>
    <row r="457">
      <c r="B457" s="4" t="n"/>
    </row>
    <row r="458">
      <c r="B458" s="4" t="n"/>
    </row>
    <row r="459">
      <c r="B459" s="4" t="n"/>
    </row>
    <row r="460">
      <c r="B460" s="4" t="n"/>
    </row>
    <row r="461">
      <c r="B461" s="4" t="n"/>
    </row>
    <row r="462">
      <c r="B462" s="4" t="n"/>
    </row>
    <row r="463">
      <c r="B463" s="4" t="n"/>
    </row>
    <row r="464">
      <c r="B464" s="4" t="n"/>
    </row>
    <row r="465">
      <c r="B465" s="4" t="n"/>
    </row>
    <row r="466">
      <c r="B466" s="4" t="n"/>
    </row>
    <row r="467">
      <c r="B467" s="4" t="n"/>
    </row>
    <row r="468">
      <c r="B468" s="4" t="n"/>
    </row>
    <row r="469">
      <c r="B469" s="4" t="n"/>
    </row>
    <row r="470">
      <c r="B470" s="4" t="n"/>
    </row>
    <row r="471">
      <c r="B471" s="4" t="n"/>
    </row>
    <row r="472">
      <c r="B472" s="4" t="n"/>
    </row>
    <row r="473">
      <c r="B473" s="4" t="n"/>
    </row>
    <row r="474">
      <c r="B474" s="4" t="n"/>
    </row>
    <row r="475">
      <c r="B475" s="4" t="n"/>
    </row>
    <row r="476">
      <c r="B476" s="4" t="n"/>
    </row>
    <row r="477">
      <c r="B477" s="4" t="n"/>
    </row>
    <row r="478">
      <c r="B478" s="4" t="n"/>
    </row>
    <row r="479">
      <c r="B479" s="4" t="n"/>
    </row>
    <row r="480">
      <c r="B480" s="4" t="n"/>
    </row>
    <row r="481">
      <c r="B481" s="4" t="n"/>
    </row>
    <row r="482">
      <c r="B482" s="4" t="n"/>
    </row>
    <row r="483">
      <c r="B483" s="4" t="n"/>
    </row>
    <row r="484">
      <c r="B484" s="4" t="n"/>
    </row>
    <row r="485">
      <c r="B485" s="4" t="n"/>
    </row>
    <row r="486">
      <c r="B486" s="4" t="n"/>
    </row>
    <row r="487">
      <c r="B487" s="4" t="n"/>
    </row>
    <row r="488">
      <c r="B488" s="4" t="n"/>
    </row>
    <row r="489">
      <c r="B489" s="4" t="n"/>
    </row>
    <row r="490">
      <c r="B490" s="4" t="n"/>
    </row>
    <row r="491">
      <c r="B491" s="4" t="n"/>
    </row>
    <row r="492">
      <c r="B492" s="4" t="n"/>
    </row>
    <row r="493">
      <c r="B493" s="4" t="n"/>
    </row>
    <row r="494">
      <c r="B494" s="4" t="n"/>
    </row>
    <row r="495">
      <c r="B495" s="4" t="n"/>
    </row>
    <row r="496">
      <c r="B496" s="4" t="n"/>
    </row>
    <row r="497">
      <c r="B497" s="4" t="n"/>
    </row>
    <row r="498">
      <c r="B498" s="4" t="n"/>
    </row>
    <row r="499">
      <c r="B499" s="4" t="n"/>
    </row>
    <row r="500">
      <c r="B500" s="4" t="n"/>
    </row>
    <row r="501">
      <c r="B501" s="4" t="n"/>
    </row>
    <row r="502">
      <c r="B502" s="4" t="n"/>
    </row>
    <row r="503">
      <c r="B503" s="4" t="n"/>
    </row>
    <row r="504">
      <c r="B504" s="4" t="n"/>
    </row>
    <row r="505">
      <c r="B505" s="4" t="n"/>
    </row>
    <row r="506">
      <c r="B506" s="4" t="n"/>
    </row>
    <row r="507">
      <c r="B507" s="4" t="n"/>
    </row>
    <row r="508">
      <c r="B508" s="4" t="n"/>
    </row>
    <row r="509">
      <c r="B509" s="4" t="n"/>
    </row>
    <row r="510">
      <c r="B510" s="4" t="n"/>
    </row>
    <row r="511">
      <c r="B511" s="4" t="n"/>
    </row>
    <row r="512">
      <c r="B512" s="4" t="n"/>
    </row>
    <row r="513">
      <c r="B513" s="4" t="n"/>
    </row>
    <row r="514">
      <c r="B514" s="4" t="n"/>
    </row>
    <row r="515">
      <c r="B515" s="4" t="n"/>
    </row>
    <row r="516">
      <c r="B516" s="4" t="n"/>
    </row>
    <row r="517">
      <c r="B517" s="4" t="n"/>
    </row>
    <row r="518">
      <c r="B518" s="4" t="n"/>
    </row>
    <row r="519">
      <c r="B519" s="4" t="n"/>
    </row>
    <row r="520">
      <c r="B520" s="4" t="n"/>
    </row>
    <row r="521">
      <c r="B521" s="4" t="n"/>
    </row>
    <row r="522">
      <c r="B522" s="4" t="n"/>
    </row>
    <row r="523">
      <c r="B523" s="4" t="n"/>
    </row>
    <row r="524">
      <c r="B524" s="4" t="n"/>
    </row>
    <row r="525">
      <c r="B525" s="4" t="n"/>
    </row>
    <row r="526">
      <c r="B526" s="4" t="n"/>
    </row>
    <row r="527">
      <c r="B527" s="4" t="n"/>
    </row>
    <row r="528">
      <c r="B528" s="4" t="n"/>
    </row>
    <row r="529">
      <c r="B529" s="4" t="n"/>
    </row>
    <row r="530">
      <c r="B530" s="4" t="n"/>
    </row>
    <row r="531">
      <c r="B531" s="4" t="n"/>
    </row>
    <row r="532">
      <c r="B532" s="4" t="n"/>
    </row>
    <row r="533">
      <c r="B533" s="4" t="n"/>
    </row>
    <row r="534">
      <c r="B534" s="4" t="n"/>
    </row>
    <row r="535">
      <c r="B535" s="4" t="n"/>
    </row>
    <row r="536">
      <c r="B536" s="4" t="n"/>
    </row>
    <row r="537">
      <c r="B537" s="4" t="n"/>
    </row>
    <row r="538">
      <c r="B538" s="4" t="n"/>
    </row>
    <row r="539">
      <c r="B539" s="4" t="n"/>
    </row>
    <row r="540">
      <c r="B540" s="4" t="n"/>
    </row>
    <row r="541">
      <c r="B541" s="4" t="n"/>
    </row>
    <row r="542">
      <c r="B542" s="4" t="n"/>
    </row>
    <row r="543">
      <c r="B543" s="4" t="n"/>
    </row>
    <row r="544">
      <c r="B544" s="4" t="n"/>
    </row>
    <row r="545">
      <c r="B545" s="4" t="n"/>
    </row>
    <row r="546">
      <c r="B546" s="4" t="n"/>
    </row>
    <row r="547">
      <c r="B547" s="4" t="n"/>
    </row>
    <row r="548">
      <c r="B548" s="4" t="n"/>
    </row>
    <row r="549">
      <c r="B549" s="4" t="n"/>
    </row>
    <row r="550">
      <c r="B550" s="4" t="n"/>
    </row>
    <row r="551">
      <c r="B551" s="4" t="n"/>
    </row>
    <row r="552">
      <c r="B552" s="4" t="n"/>
    </row>
    <row r="553">
      <c r="B553" s="4" t="n"/>
    </row>
    <row r="554">
      <c r="B554" s="4" t="n"/>
    </row>
    <row r="555">
      <c r="B555" s="4" t="n"/>
    </row>
    <row r="556">
      <c r="B556" s="4" t="n"/>
    </row>
    <row r="557">
      <c r="B557" s="4" t="n"/>
    </row>
    <row r="558">
      <c r="B558" s="4" t="n"/>
    </row>
    <row r="559">
      <c r="B559" s="4" t="n"/>
    </row>
    <row r="560">
      <c r="B560" s="4" t="n"/>
    </row>
    <row r="561">
      <c r="B561" s="4" t="n"/>
    </row>
    <row r="562">
      <c r="B562" s="4" t="n"/>
    </row>
    <row r="563">
      <c r="B563" s="4" t="n"/>
    </row>
    <row r="564">
      <c r="B564" s="4" t="n"/>
    </row>
    <row r="565">
      <c r="B565" s="4" t="n"/>
    </row>
    <row r="566">
      <c r="B566" s="4" t="n"/>
    </row>
    <row r="567">
      <c r="B567" s="4" t="n"/>
    </row>
    <row r="568">
      <c r="B568" s="4" t="n"/>
    </row>
    <row r="569">
      <c r="B569" s="4" t="n"/>
    </row>
    <row r="570">
      <c r="B570" s="4" t="n"/>
    </row>
    <row r="571">
      <c r="B571" s="4" t="n"/>
    </row>
    <row r="572">
      <c r="B572" s="4" t="n"/>
    </row>
    <row r="573">
      <c r="B573" s="4" t="n"/>
    </row>
    <row r="574">
      <c r="B574" s="4" t="n"/>
    </row>
    <row r="575">
      <c r="B575" s="4" t="n"/>
    </row>
    <row r="576">
      <c r="B576" s="4" t="n"/>
    </row>
    <row r="577">
      <c r="B577" s="4" t="n"/>
    </row>
    <row r="578">
      <c r="B578" s="4" t="n"/>
    </row>
    <row r="579">
      <c r="B579" s="4" t="n"/>
    </row>
    <row r="580">
      <c r="B580" s="4" t="n"/>
    </row>
    <row r="581">
      <c r="B581" s="4" t="n"/>
    </row>
    <row r="582">
      <c r="B582" s="4" t="n"/>
    </row>
    <row r="583">
      <c r="B583" s="4" t="n"/>
    </row>
    <row r="584">
      <c r="B584" s="4" t="n"/>
    </row>
    <row r="585">
      <c r="B585" s="4" t="n"/>
    </row>
    <row r="586">
      <c r="B586" s="4" t="n"/>
    </row>
    <row r="587">
      <c r="B587" s="4" t="n"/>
    </row>
    <row r="588">
      <c r="B588" s="4" t="n"/>
    </row>
    <row r="589">
      <c r="B589" s="4" t="n"/>
    </row>
    <row r="590">
      <c r="B590" s="4" t="n"/>
    </row>
    <row r="591">
      <c r="B591" s="4" t="n"/>
    </row>
    <row r="592">
      <c r="B592" s="4" t="n"/>
    </row>
    <row r="593">
      <c r="B593" s="4" t="n"/>
    </row>
    <row r="594">
      <c r="B594" s="4" t="n"/>
    </row>
    <row r="595">
      <c r="B595" s="4" t="n"/>
    </row>
    <row r="596">
      <c r="B596" s="4" t="n"/>
    </row>
    <row r="597">
      <c r="B597" s="4" t="n"/>
    </row>
    <row r="598">
      <c r="B598" s="4" t="n"/>
    </row>
    <row r="599">
      <c r="B599" s="4" t="n"/>
    </row>
    <row r="600">
      <c r="B600" s="4" t="n"/>
    </row>
    <row r="601">
      <c r="B601" s="4" t="n"/>
    </row>
    <row r="602">
      <c r="B602" s="4" t="n"/>
    </row>
    <row r="603">
      <c r="B603" s="4" t="n"/>
    </row>
    <row r="604">
      <c r="B604" s="4" t="n"/>
    </row>
    <row r="605">
      <c r="B605" s="4" t="n"/>
    </row>
    <row r="606">
      <c r="B606" s="4" t="n"/>
    </row>
    <row r="607">
      <c r="B607" s="4" t="n"/>
    </row>
    <row r="608">
      <c r="B608" s="4" t="n"/>
    </row>
    <row r="609">
      <c r="B609" s="4" t="n"/>
    </row>
    <row r="610">
      <c r="B610" s="4" t="n"/>
    </row>
    <row r="611">
      <c r="B611" s="4" t="n"/>
    </row>
    <row r="612">
      <c r="B612" s="4" t="n"/>
    </row>
    <row r="613">
      <c r="B613" s="4" t="n"/>
    </row>
    <row r="614">
      <c r="B614" s="4" t="n"/>
    </row>
    <row r="615">
      <c r="B615" s="4" t="n"/>
    </row>
    <row r="616">
      <c r="B616" s="4" t="n"/>
    </row>
    <row r="617">
      <c r="B617" s="4" t="n"/>
    </row>
    <row r="618">
      <c r="B618" s="4" t="n"/>
    </row>
    <row r="619">
      <c r="B619" s="4" t="n"/>
    </row>
    <row r="620">
      <c r="B620" s="4" t="n"/>
    </row>
    <row r="621">
      <c r="B621" s="4" t="n"/>
    </row>
    <row r="622">
      <c r="B622" s="4" t="n"/>
    </row>
    <row r="623">
      <c r="B623" s="4" t="n"/>
    </row>
    <row r="624">
      <c r="B624" s="4" t="n"/>
    </row>
    <row r="625">
      <c r="B625" s="4" t="n"/>
    </row>
    <row r="626">
      <c r="B626" s="4" t="n"/>
    </row>
    <row r="627">
      <c r="B627" s="4" t="n"/>
    </row>
    <row r="628">
      <c r="B628" s="4" t="n"/>
    </row>
    <row r="629">
      <c r="B629" s="4" t="n"/>
    </row>
    <row r="630">
      <c r="B630" s="4" t="n"/>
    </row>
    <row r="631">
      <c r="B631" s="4" t="n"/>
    </row>
    <row r="632">
      <c r="B632" s="4" t="n"/>
    </row>
    <row r="633">
      <c r="B633" s="4" t="n"/>
    </row>
    <row r="634">
      <c r="B634" s="4" t="n"/>
    </row>
    <row r="635">
      <c r="B635" s="4" t="n"/>
    </row>
    <row r="636">
      <c r="B636" s="4" t="n"/>
    </row>
    <row r="637">
      <c r="B637" s="4" t="n"/>
    </row>
    <row r="638">
      <c r="B638" s="4" t="n"/>
    </row>
    <row r="639">
      <c r="B639" s="4" t="n"/>
    </row>
    <row r="640">
      <c r="B640" s="4" t="n"/>
    </row>
    <row r="641">
      <c r="B641" s="4" t="n"/>
    </row>
    <row r="642">
      <c r="B642" s="4" t="n"/>
    </row>
    <row r="643">
      <c r="B643" s="4" t="n"/>
    </row>
    <row r="644">
      <c r="B644" s="4" t="n"/>
    </row>
    <row r="645">
      <c r="B645" s="4" t="n"/>
    </row>
    <row r="646">
      <c r="B646" s="4" t="n"/>
    </row>
    <row r="647">
      <c r="B647" s="4" t="n"/>
    </row>
    <row r="648">
      <c r="B648" s="4" t="n"/>
    </row>
    <row r="649">
      <c r="B649" s="4" t="n"/>
    </row>
    <row r="650">
      <c r="B650" s="4" t="n"/>
    </row>
    <row r="651">
      <c r="B651" s="4" t="n"/>
    </row>
    <row r="652">
      <c r="B652" s="4" t="n"/>
    </row>
    <row r="653">
      <c r="B653" s="4" t="n"/>
    </row>
    <row r="654">
      <c r="B654" s="4" t="n"/>
    </row>
    <row r="655">
      <c r="B655" s="4" t="n"/>
    </row>
    <row r="656">
      <c r="B656" s="4" t="n"/>
    </row>
    <row r="657">
      <c r="B657" s="4" t="n"/>
    </row>
    <row r="658">
      <c r="B658" s="4" t="n"/>
    </row>
    <row r="659">
      <c r="B659" s="4" t="n"/>
    </row>
    <row r="660">
      <c r="B660" s="4" t="n"/>
    </row>
    <row r="661">
      <c r="B661" s="4" t="n"/>
    </row>
    <row r="662">
      <c r="B662" s="4" t="n"/>
    </row>
    <row r="663">
      <c r="B663" s="4" t="n"/>
    </row>
    <row r="664">
      <c r="B664" s="4" t="n"/>
    </row>
    <row r="665">
      <c r="B665" s="4" t="n"/>
    </row>
    <row r="666">
      <c r="B666" s="4" t="n"/>
    </row>
    <row r="667">
      <c r="B667" s="4" t="n"/>
    </row>
    <row r="668">
      <c r="B668" s="4" t="n"/>
    </row>
    <row r="669">
      <c r="B669" s="4" t="n"/>
    </row>
    <row r="670">
      <c r="B670" s="4" t="n"/>
    </row>
    <row r="671">
      <c r="B671" s="4" t="n"/>
    </row>
    <row r="672">
      <c r="B672" s="4" t="n"/>
    </row>
    <row r="673">
      <c r="B673" s="4" t="n"/>
    </row>
    <row r="674">
      <c r="B674" s="4" t="n"/>
    </row>
    <row r="675">
      <c r="B675" s="4" t="n"/>
    </row>
    <row r="676">
      <c r="B676" s="4" t="n"/>
    </row>
    <row r="677">
      <c r="B677" s="4" t="n"/>
    </row>
    <row r="678">
      <c r="B678" s="4" t="n"/>
    </row>
    <row r="679">
      <c r="B679" s="4" t="n"/>
    </row>
    <row r="680">
      <c r="B680" s="4" t="n"/>
    </row>
    <row r="681">
      <c r="B681" s="4" t="n"/>
    </row>
    <row r="682">
      <c r="B682" s="4" t="n"/>
    </row>
    <row r="683">
      <c r="B683" s="4" t="n"/>
    </row>
    <row r="684">
      <c r="B684" s="4" t="n"/>
    </row>
    <row r="685">
      <c r="B685" s="4" t="n"/>
    </row>
    <row r="686">
      <c r="B686" s="4" t="n"/>
    </row>
    <row r="687">
      <c r="B687" s="4" t="n"/>
    </row>
    <row r="688">
      <c r="B688" s="4" t="n"/>
    </row>
    <row r="689">
      <c r="B689" s="4" t="n"/>
    </row>
    <row r="690">
      <c r="B690" s="4" t="n"/>
    </row>
    <row r="691">
      <c r="B691" s="4" t="n"/>
    </row>
    <row r="692">
      <c r="B692" s="4" t="n"/>
    </row>
    <row r="693">
      <c r="B693" s="4" t="n"/>
    </row>
    <row r="694">
      <c r="B694" s="4" t="n"/>
    </row>
    <row r="695">
      <c r="B695" s="4" t="n"/>
    </row>
    <row r="696">
      <c r="B696" s="4" t="n"/>
    </row>
    <row r="697">
      <c r="B697" s="4" t="n"/>
    </row>
    <row r="698">
      <c r="B698" s="4" t="n"/>
    </row>
    <row r="699">
      <c r="B699" s="4" t="n"/>
    </row>
    <row r="700">
      <c r="B700" s="4" t="n"/>
    </row>
    <row r="701">
      <c r="B701" s="4" t="n"/>
    </row>
    <row r="702">
      <c r="B702" s="4" t="n"/>
    </row>
    <row r="703">
      <c r="B703" s="4" t="n"/>
    </row>
    <row r="704">
      <c r="B704" s="4" t="n"/>
    </row>
    <row r="705">
      <c r="B705" s="4" t="n"/>
    </row>
    <row r="706">
      <c r="B706" s="4" t="n"/>
    </row>
    <row r="707">
      <c r="B707" s="4" t="n"/>
    </row>
    <row r="708">
      <c r="B708" s="4" t="n"/>
    </row>
    <row r="709">
      <c r="B709" s="4" t="n"/>
    </row>
    <row r="710">
      <c r="B710" s="4" t="n"/>
    </row>
    <row r="711">
      <c r="B711" s="4" t="n"/>
    </row>
    <row r="712">
      <c r="B712" s="4" t="n"/>
    </row>
    <row r="713">
      <c r="B713" s="4" t="n"/>
    </row>
    <row r="714">
      <c r="B714" s="4" t="n"/>
    </row>
    <row r="715">
      <c r="B715" s="4" t="n"/>
    </row>
    <row r="716">
      <c r="B716" s="4" t="n"/>
    </row>
    <row r="717">
      <c r="B717" s="4" t="n"/>
    </row>
    <row r="718">
      <c r="B718" s="4" t="n"/>
    </row>
    <row r="719">
      <c r="B719" s="4" t="n"/>
    </row>
    <row r="720">
      <c r="B720" s="4" t="n"/>
    </row>
    <row r="721">
      <c r="B721" s="4" t="n"/>
    </row>
    <row r="722">
      <c r="B722" s="4" t="n"/>
    </row>
    <row r="723">
      <c r="B723" s="4" t="n"/>
    </row>
    <row r="724">
      <c r="B724" s="4" t="n"/>
    </row>
    <row r="725">
      <c r="B725" s="4" t="n"/>
    </row>
    <row r="726">
      <c r="B726" s="4" t="n"/>
    </row>
    <row r="727">
      <c r="B727" s="4" t="n"/>
    </row>
    <row r="728">
      <c r="B728" s="4" t="n"/>
    </row>
    <row r="729">
      <c r="B729" s="4" t="n"/>
    </row>
    <row r="730">
      <c r="B730" s="4" t="n"/>
    </row>
    <row r="731">
      <c r="B731" s="4" t="n"/>
    </row>
    <row r="732">
      <c r="B732" s="4" t="n"/>
    </row>
    <row r="733">
      <c r="B733" s="4" t="n"/>
    </row>
    <row r="734">
      <c r="B734" s="4" t="n"/>
    </row>
    <row r="735">
      <c r="B735" s="4" t="n"/>
    </row>
    <row r="736">
      <c r="B736" s="4" t="n"/>
    </row>
    <row r="737">
      <c r="B737" s="4" t="n"/>
    </row>
    <row r="738">
      <c r="B738" s="4" t="n"/>
    </row>
    <row r="739">
      <c r="B739" s="4" t="n"/>
    </row>
    <row r="740">
      <c r="B740" s="4" t="n"/>
    </row>
    <row r="741">
      <c r="B741" s="4" t="n"/>
    </row>
    <row r="742">
      <c r="B742" s="4" t="n"/>
    </row>
    <row r="743">
      <c r="B743" s="4" t="n"/>
    </row>
    <row r="744">
      <c r="B744" s="4" t="n"/>
    </row>
    <row r="745">
      <c r="B745" s="4" t="n"/>
    </row>
    <row r="746">
      <c r="B746" s="4" t="n"/>
    </row>
    <row r="747">
      <c r="B747" s="4" t="n"/>
    </row>
    <row r="748">
      <c r="B748" s="4" t="n"/>
    </row>
    <row r="749">
      <c r="B749" s="4" t="n"/>
    </row>
    <row r="750">
      <c r="B750" s="4" t="n"/>
    </row>
    <row r="751">
      <c r="B751" s="4" t="n"/>
    </row>
    <row r="752">
      <c r="B752" s="4" t="n"/>
    </row>
    <row r="753">
      <c r="B753" s="4" t="n"/>
    </row>
    <row r="754">
      <c r="B754" s="4" t="n"/>
    </row>
    <row r="755">
      <c r="B755" s="4" t="n"/>
    </row>
    <row r="756">
      <c r="B756" s="4" t="n"/>
    </row>
    <row r="757">
      <c r="B757" s="4" t="n"/>
    </row>
    <row r="758">
      <c r="B758" s="4" t="n"/>
    </row>
    <row r="759">
      <c r="B759" s="4" t="n"/>
    </row>
    <row r="760">
      <c r="B760" s="4" t="n"/>
    </row>
    <row r="761">
      <c r="B761" s="4" t="n"/>
    </row>
    <row r="762">
      <c r="B762" s="4" t="n"/>
    </row>
    <row r="763">
      <c r="B763" s="4" t="n"/>
    </row>
    <row r="764">
      <c r="B764" s="4" t="n"/>
    </row>
    <row r="765">
      <c r="B765" s="4" t="n"/>
    </row>
    <row r="766">
      <c r="B766" s="4" t="n"/>
    </row>
    <row r="767">
      <c r="B767" s="4" t="n"/>
    </row>
    <row r="768">
      <c r="B768" s="4" t="n"/>
    </row>
    <row r="769">
      <c r="B769" s="4" t="n"/>
    </row>
    <row r="770">
      <c r="B770" s="4" t="n"/>
    </row>
    <row r="771">
      <c r="B771" s="4" t="n"/>
    </row>
    <row r="772">
      <c r="B772" s="4" t="n"/>
    </row>
    <row r="773">
      <c r="B773" s="4" t="n"/>
    </row>
    <row r="774">
      <c r="B774" s="4" t="n"/>
    </row>
    <row r="775">
      <c r="B775" s="4" t="n"/>
    </row>
    <row r="776">
      <c r="B776" s="4" t="n"/>
    </row>
    <row r="777">
      <c r="B777" s="4" t="n"/>
    </row>
    <row r="778">
      <c r="B778" s="4" t="n"/>
    </row>
    <row r="779">
      <c r="B779" s="4" t="n"/>
    </row>
    <row r="780">
      <c r="B780" s="4" t="n"/>
    </row>
    <row r="781">
      <c r="B781" s="4" t="n"/>
    </row>
    <row r="782">
      <c r="B782" s="4" t="n"/>
    </row>
    <row r="783">
      <c r="B783" s="4" t="n"/>
    </row>
    <row r="784">
      <c r="B784" s="4" t="n"/>
    </row>
    <row r="785">
      <c r="B785" s="4" t="n"/>
    </row>
    <row r="786">
      <c r="B786" s="4" t="n"/>
    </row>
    <row r="787">
      <c r="B787" s="4" t="n"/>
    </row>
    <row r="788">
      <c r="B788" s="4" t="n"/>
    </row>
    <row r="789">
      <c r="B789" s="4" t="n"/>
    </row>
    <row r="790">
      <c r="B790" s="4" t="n"/>
    </row>
    <row r="791">
      <c r="B791" s="4" t="n"/>
    </row>
    <row r="792">
      <c r="B792" s="4" t="n"/>
    </row>
    <row r="793">
      <c r="B793" s="4" t="n"/>
    </row>
    <row r="794">
      <c r="B794" s="4" t="n"/>
    </row>
    <row r="795">
      <c r="B795" s="4" t="n"/>
    </row>
    <row r="796">
      <c r="B796" s="4" t="n"/>
    </row>
    <row r="797">
      <c r="B797" s="4" t="n"/>
    </row>
    <row r="798">
      <c r="B798" s="4" t="n"/>
    </row>
    <row r="799">
      <c r="B799" s="4" t="n"/>
    </row>
    <row r="800">
      <c r="B800" s="4" t="n"/>
    </row>
    <row r="801">
      <c r="B801" s="4" t="n"/>
    </row>
    <row r="802">
      <c r="B802" s="4" t="n"/>
    </row>
    <row r="803">
      <c r="B803" s="4" t="n"/>
    </row>
    <row r="804">
      <c r="B804" s="4" t="n"/>
    </row>
    <row r="805">
      <c r="B805" s="4" t="n"/>
    </row>
    <row r="806">
      <c r="B806" s="4" t="n"/>
    </row>
    <row r="807">
      <c r="B807" s="4" t="n"/>
    </row>
    <row r="808">
      <c r="B808" s="4" t="n"/>
    </row>
    <row r="809">
      <c r="B809" s="4" t="n"/>
    </row>
    <row r="810">
      <c r="B810" s="4" t="n"/>
    </row>
    <row r="811">
      <c r="B811" s="4" t="n"/>
    </row>
    <row r="812">
      <c r="B812" s="4" t="n"/>
    </row>
    <row r="813">
      <c r="B813" s="4" t="n"/>
    </row>
    <row r="814">
      <c r="B814" s="4" t="n"/>
    </row>
    <row r="815">
      <c r="B815" s="4" t="n"/>
    </row>
    <row r="816">
      <c r="B816" s="4" t="n"/>
    </row>
    <row r="817">
      <c r="B817" s="4" t="n"/>
    </row>
    <row r="818">
      <c r="B818" s="4" t="n"/>
    </row>
    <row r="819">
      <c r="B819" s="4" t="n"/>
    </row>
    <row r="820">
      <c r="B820" s="4" t="n"/>
    </row>
    <row r="821">
      <c r="B821" s="4" t="n"/>
    </row>
    <row r="822">
      <c r="B822" s="4" t="n"/>
    </row>
    <row r="823">
      <c r="B823" s="4" t="n"/>
    </row>
    <row r="824">
      <c r="B824" s="4" t="n"/>
    </row>
    <row r="825">
      <c r="B825" s="4" t="n"/>
    </row>
    <row r="826">
      <c r="B826" s="4" t="n"/>
    </row>
    <row r="827">
      <c r="B827" s="4" t="n"/>
    </row>
    <row r="828">
      <c r="B828" s="4" t="n"/>
    </row>
    <row r="829">
      <c r="B829" s="4" t="n"/>
    </row>
    <row r="830">
      <c r="B830" s="4" t="n"/>
    </row>
    <row r="831">
      <c r="B831" s="4" t="n"/>
    </row>
    <row r="832">
      <c r="B832" s="4" t="n"/>
    </row>
    <row r="833">
      <c r="B833" s="4" t="n"/>
    </row>
    <row r="834">
      <c r="B834" s="4" t="n"/>
    </row>
    <row r="835">
      <c r="B835" s="4" t="n"/>
    </row>
    <row r="836">
      <c r="B836" s="4" t="n"/>
    </row>
    <row r="837">
      <c r="B837" s="4" t="n"/>
    </row>
    <row r="838">
      <c r="B838" s="4" t="n"/>
    </row>
    <row r="839">
      <c r="B839" s="4" t="n"/>
    </row>
    <row r="840">
      <c r="B840" s="4" t="n"/>
    </row>
    <row r="841">
      <c r="B841" s="4" t="n"/>
    </row>
    <row r="842">
      <c r="B842" s="4" t="n"/>
    </row>
    <row r="843">
      <c r="B843" s="4" t="n"/>
    </row>
    <row r="844">
      <c r="B844" s="4" t="n"/>
    </row>
    <row r="845">
      <c r="B845" s="4" t="n"/>
    </row>
    <row r="846">
      <c r="B846" s="4" t="n"/>
    </row>
    <row r="847">
      <c r="B847" s="4" t="n"/>
    </row>
    <row r="848">
      <c r="B848" s="4" t="n"/>
    </row>
    <row r="849">
      <c r="B849" s="4" t="n"/>
    </row>
    <row r="850">
      <c r="B850" s="4" t="n"/>
    </row>
    <row r="851">
      <c r="B851" s="4" t="n"/>
    </row>
    <row r="852">
      <c r="B852" s="4" t="n"/>
    </row>
    <row r="853">
      <c r="B853" s="4" t="n"/>
    </row>
    <row r="854">
      <c r="B854" s="4" t="n"/>
    </row>
    <row r="855">
      <c r="B855" s="4" t="n"/>
    </row>
    <row r="856">
      <c r="B856" s="4" t="n"/>
    </row>
    <row r="857">
      <c r="B857" s="4" t="n"/>
    </row>
    <row r="858">
      <c r="B858" s="4" t="n"/>
    </row>
    <row r="859">
      <c r="B859" s="4" t="n"/>
    </row>
    <row r="860">
      <c r="B860" s="4" t="n"/>
    </row>
    <row r="861">
      <c r="B861" s="4" t="n"/>
    </row>
    <row r="862">
      <c r="B862" s="4" t="n"/>
    </row>
    <row r="863">
      <c r="B863" s="4" t="n"/>
    </row>
    <row r="864">
      <c r="B864" s="4" t="n"/>
    </row>
    <row r="865">
      <c r="B865" s="4" t="n"/>
    </row>
    <row r="866">
      <c r="B866" s="4" t="n"/>
    </row>
    <row r="867">
      <c r="B867" s="4" t="n"/>
    </row>
    <row r="868">
      <c r="B868" s="4" t="n"/>
    </row>
    <row r="869">
      <c r="B869" s="4" t="n"/>
    </row>
    <row r="870">
      <c r="B870" s="4" t="n"/>
    </row>
    <row r="871">
      <c r="B871" s="4" t="n"/>
    </row>
    <row r="872">
      <c r="B872" s="4" t="n"/>
    </row>
    <row r="873">
      <c r="B873" s="4" t="n"/>
    </row>
    <row r="874">
      <c r="B874" s="4" t="n"/>
    </row>
    <row r="875">
      <c r="B875" s="4" t="n"/>
    </row>
    <row r="876">
      <c r="B876" s="4" t="n"/>
    </row>
    <row r="877">
      <c r="B877" s="4" t="n"/>
    </row>
    <row r="878">
      <c r="B878" s="4" t="n"/>
    </row>
    <row r="879">
      <c r="B879" s="4" t="n"/>
    </row>
    <row r="880">
      <c r="B880" s="4" t="n"/>
    </row>
    <row r="881">
      <c r="B881" s="4" t="n"/>
    </row>
    <row r="882">
      <c r="B882" s="4" t="n"/>
    </row>
    <row r="883">
      <c r="B883" s="4" t="n"/>
    </row>
    <row r="884">
      <c r="B884" s="4" t="n"/>
    </row>
    <row r="885">
      <c r="B885" s="4" t="n"/>
    </row>
    <row r="886">
      <c r="B886" s="4" t="n"/>
    </row>
    <row r="887">
      <c r="B887" s="4" t="n"/>
    </row>
    <row r="888">
      <c r="B888" s="4" t="n"/>
    </row>
    <row r="889">
      <c r="B889" s="4" t="n"/>
    </row>
    <row r="890">
      <c r="B890" s="4" t="n"/>
    </row>
    <row r="891">
      <c r="B891" s="4" t="n"/>
    </row>
    <row r="892">
      <c r="B892" s="4" t="n"/>
    </row>
    <row r="893">
      <c r="B893" s="4" t="n"/>
    </row>
    <row r="894">
      <c r="B894" s="4" t="n"/>
    </row>
    <row r="895">
      <c r="B895" s="4" t="n"/>
    </row>
    <row r="896">
      <c r="B896" s="4" t="n"/>
    </row>
    <row r="897">
      <c r="B897" s="4" t="n"/>
    </row>
    <row r="898">
      <c r="B898" s="4" t="n"/>
    </row>
    <row r="899">
      <c r="B899" s="4" t="n"/>
    </row>
    <row r="900">
      <c r="B900" s="4" t="n"/>
    </row>
    <row r="901">
      <c r="B901" s="4" t="n"/>
    </row>
    <row r="902">
      <c r="B902" s="4" t="n"/>
    </row>
    <row r="903">
      <c r="B903" s="4" t="n"/>
    </row>
    <row r="904">
      <c r="B904" s="4" t="n"/>
    </row>
    <row r="905">
      <c r="B905" s="4" t="n"/>
    </row>
    <row r="906">
      <c r="B906" s="4" t="n"/>
    </row>
    <row r="907">
      <c r="B907" s="4" t="n"/>
    </row>
    <row r="908">
      <c r="B908" s="4" t="n"/>
    </row>
    <row r="909">
      <c r="B909" s="4" t="n"/>
    </row>
    <row r="910">
      <c r="B910" s="4" t="n"/>
    </row>
    <row r="911">
      <c r="B911" s="4" t="n"/>
    </row>
    <row r="912">
      <c r="B912" s="4" t="n"/>
    </row>
    <row r="913">
      <c r="B913" s="4" t="n"/>
    </row>
    <row r="914">
      <c r="B914" s="4" t="n"/>
    </row>
    <row r="915">
      <c r="B915" s="4" t="n"/>
    </row>
    <row r="916">
      <c r="B916" s="4" t="n"/>
    </row>
    <row r="917">
      <c r="B917" s="4" t="n"/>
    </row>
    <row r="918">
      <c r="B918" s="4" t="n"/>
    </row>
    <row r="919">
      <c r="B919" s="4" t="n"/>
    </row>
    <row r="920">
      <c r="B920" s="4" t="n"/>
    </row>
    <row r="921">
      <c r="B921" s="4" t="n"/>
    </row>
    <row r="922">
      <c r="B922" s="4" t="n"/>
    </row>
    <row r="923">
      <c r="B923" s="4" t="n"/>
    </row>
    <row r="924">
      <c r="B924" s="4" t="n"/>
    </row>
    <row r="925">
      <c r="B925" s="4" t="n"/>
    </row>
    <row r="926">
      <c r="B926" s="4" t="n"/>
    </row>
    <row r="927">
      <c r="B927" s="4" t="n"/>
    </row>
    <row r="928">
      <c r="B928" s="4" t="n"/>
    </row>
    <row r="929">
      <c r="B929" s="4" t="n"/>
    </row>
    <row r="930">
      <c r="B930" s="4" t="n"/>
    </row>
    <row r="931">
      <c r="B931" s="4" t="n"/>
    </row>
    <row r="932">
      <c r="B932" s="4" t="n"/>
    </row>
    <row r="933">
      <c r="B933" s="4" t="n"/>
    </row>
    <row r="934">
      <c r="B934" s="4" t="n"/>
    </row>
    <row r="935">
      <c r="B935" s="4" t="n"/>
    </row>
    <row r="936">
      <c r="B936" s="4" t="n"/>
    </row>
    <row r="937">
      <c r="B937" s="4" t="n"/>
    </row>
    <row r="938">
      <c r="B938" s="4" t="n"/>
    </row>
    <row r="939">
      <c r="B939" s="4" t="n"/>
    </row>
    <row r="940">
      <c r="B940" s="4" t="n"/>
    </row>
    <row r="941">
      <c r="B941" s="4" t="n"/>
    </row>
    <row r="942">
      <c r="B942" s="4" t="n"/>
    </row>
    <row r="943">
      <c r="B943" s="4" t="n"/>
    </row>
    <row r="944">
      <c r="B944" s="4" t="n"/>
    </row>
    <row r="945">
      <c r="B945" s="4" t="n"/>
    </row>
    <row r="946">
      <c r="B946" s="4" t="n"/>
    </row>
    <row r="947">
      <c r="B947" s="4" t="n"/>
    </row>
    <row r="948">
      <c r="B948" s="4" t="n"/>
    </row>
    <row r="949">
      <c r="B949" s="4" t="n"/>
    </row>
    <row r="950">
      <c r="B950" s="4" t="n"/>
    </row>
    <row r="951">
      <c r="B951" s="4" t="n"/>
    </row>
    <row r="952">
      <c r="B952" s="4" t="n"/>
    </row>
    <row r="953">
      <c r="B953" s="4" t="n"/>
    </row>
    <row r="954">
      <c r="B954" s="4" t="n"/>
    </row>
    <row r="955">
      <c r="B955" s="4" t="n"/>
    </row>
    <row r="956">
      <c r="B956" s="4" t="n"/>
    </row>
    <row r="957">
      <c r="B957" s="4" t="n"/>
    </row>
    <row r="958">
      <c r="B958" s="4" t="n"/>
    </row>
    <row r="959">
      <c r="B959" s="4" t="n"/>
    </row>
    <row r="960">
      <c r="B960" s="4" t="n"/>
    </row>
    <row r="961">
      <c r="B961" s="4" t="n"/>
    </row>
    <row r="962">
      <c r="B962" s="4" t="n"/>
    </row>
    <row r="963">
      <c r="B963" s="4" t="n"/>
    </row>
    <row r="964">
      <c r="B964" s="4" t="n"/>
    </row>
    <row r="965">
      <c r="B965" s="4" t="n"/>
    </row>
    <row r="966">
      <c r="B966" s="4" t="n"/>
    </row>
    <row r="967">
      <c r="B967" s="4" t="n"/>
    </row>
    <row r="968">
      <c r="B968" s="4" t="n"/>
    </row>
    <row r="969">
      <c r="B969" s="4" t="n"/>
    </row>
    <row r="970">
      <c r="B970" s="4" t="n"/>
    </row>
    <row r="971">
      <c r="B971" s="4" t="n"/>
    </row>
    <row r="972">
      <c r="B972" s="4" t="n"/>
    </row>
    <row r="973">
      <c r="B973" s="4" t="n"/>
    </row>
    <row r="974">
      <c r="B974" s="4" t="n"/>
    </row>
    <row r="975">
      <c r="B975" s="4" t="n"/>
    </row>
    <row r="976">
      <c r="B976" s="4" t="n"/>
    </row>
    <row r="977">
      <c r="B977" s="4" t="n"/>
    </row>
    <row r="978">
      <c r="B978" s="4" t="n"/>
    </row>
    <row r="979">
      <c r="B979" s="4" t="n"/>
    </row>
    <row r="980">
      <c r="B980" s="4" t="n"/>
    </row>
    <row r="981">
      <c r="B981" s="4" t="n"/>
    </row>
    <row r="982">
      <c r="B982" s="4" t="n"/>
    </row>
    <row r="983">
      <c r="B983" s="4" t="n"/>
    </row>
    <row r="984">
      <c r="B984" s="4" t="n"/>
    </row>
    <row r="985">
      <c r="B985" s="4" t="n"/>
    </row>
    <row r="986">
      <c r="B986" s="4" t="n"/>
    </row>
    <row r="987">
      <c r="B987" s="4" t="n"/>
    </row>
    <row r="988">
      <c r="B988" s="4" t="n"/>
    </row>
    <row r="989">
      <c r="B989" s="4" t="n"/>
    </row>
    <row r="990">
      <c r="B990" s="4" t="n"/>
    </row>
    <row r="991">
      <c r="B991" s="4" t="n"/>
    </row>
    <row r="992">
      <c r="B992" s="4" t="n"/>
    </row>
    <row r="993">
      <c r="B993" s="4" t="n"/>
    </row>
    <row r="994">
      <c r="B994" s="4" t="n"/>
    </row>
    <row r="995">
      <c r="B995" s="4" t="n"/>
    </row>
    <row r="996">
      <c r="B996" s="4" t="n"/>
    </row>
    <row r="997">
      <c r="B997" s="4" t="n"/>
    </row>
    <row r="998">
      <c r="B998" s="4" t="n"/>
    </row>
    <row r="999">
      <c r="B999" s="4" t="n"/>
    </row>
    <row r="1000">
      <c r="B1000" s="4" t="n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2026-06-21T13:26:25Z</dcterms:created>
  <dcterms:modified xsi:type="dcterms:W3CDTF">2026-06-21T13:26:25Z</dcterms:modified>
</cp:coreProperties>
</file>